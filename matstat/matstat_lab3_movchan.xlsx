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us\Documents\matstat\"/>
    </mc:Choice>
  </mc:AlternateContent>
  <xr:revisionPtr revIDLastSave="0" documentId="13_ncr:1_{7D303B47-C9C1-4C19-867E-24B9530FA080}" xr6:coauthVersionLast="47" xr6:coauthVersionMax="47" xr10:uidLastSave="{00000000-0000-0000-0000-000000000000}"/>
  <bookViews>
    <workbookView xWindow="-120" yWindow="-120" windowWidth="29040" windowHeight="15720" tabRatio="916" activeTab="11" xr2:uid="{C75EC5E5-9289-4311-B17A-0823EF1352EB}"/>
  </bookViews>
  <sheets>
    <sheet name="linear_xz" sheetId="1" r:id="rId1"/>
    <sheet name="help_linear_xz" sheetId="4" r:id="rId2"/>
    <sheet name="hyperbolic_xz" sheetId="8" r:id="rId3"/>
    <sheet name="help_hyperbolic_xz" sheetId="11" r:id="rId4"/>
    <sheet name="logarithmic_xz" sheetId="7" r:id="rId5"/>
    <sheet name="help_logarithmic_xz" sheetId="10" r:id="rId6"/>
    <sheet name="linear_yz" sheetId="6" r:id="rId7"/>
    <sheet name="help_linear_yz" sheetId="12" r:id="rId8"/>
    <sheet name="exponential_yz" sheetId="13" r:id="rId9"/>
    <sheet name="help_exponential_yz" sheetId="17" r:id="rId10"/>
    <sheet name="hyperbolic_yz" sheetId="14" r:id="rId11"/>
    <sheet name="help_hyperbolic_yz" sheetId="15" r:id="rId12"/>
  </sheets>
  <definedNames>
    <definedName name="Xval">linear_xz!$A$2:$A$91</definedName>
    <definedName name="Yval">linear_yz!$A$2:$A$91</definedName>
    <definedName name="Zval">linear_xz!$B$2:$B$91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3" l="1"/>
  <c r="H32" i="13"/>
  <c r="H31" i="13"/>
  <c r="B2" i="13"/>
  <c r="B3" i="13"/>
  <c r="B4" i="13"/>
  <c r="B5" i="13"/>
  <c r="B6" i="13"/>
  <c r="B7" i="13"/>
  <c r="B8" i="13"/>
  <c r="B9" i="13"/>
  <c r="D9" i="13" s="1"/>
  <c r="E9" i="13" s="1"/>
  <c r="F9" i="13" s="1"/>
  <c r="B10" i="13"/>
  <c r="B11" i="13"/>
  <c r="D11" i="13" s="1"/>
  <c r="E11" i="13" s="1"/>
  <c r="F11" i="13" s="1"/>
  <c r="B12" i="13"/>
  <c r="B13" i="13"/>
  <c r="B14" i="13"/>
  <c r="B15" i="13"/>
  <c r="B16" i="13"/>
  <c r="B17" i="13"/>
  <c r="B18" i="13"/>
  <c r="B19" i="13"/>
  <c r="B20" i="13"/>
  <c r="B21" i="13"/>
  <c r="D21" i="13" s="1"/>
  <c r="E21" i="13" s="1"/>
  <c r="F21" i="13" s="1"/>
  <c r="B22" i="13"/>
  <c r="B23" i="13"/>
  <c r="D23" i="13" s="1"/>
  <c r="E23" i="13" s="1"/>
  <c r="F23" i="13" s="1"/>
  <c r="B24" i="13"/>
  <c r="B25" i="13"/>
  <c r="D25" i="13" s="1"/>
  <c r="E25" i="13" s="1"/>
  <c r="F25" i="13" s="1"/>
  <c r="B26" i="13"/>
  <c r="B27" i="13"/>
  <c r="B28" i="13"/>
  <c r="B29" i="13"/>
  <c r="B30" i="13"/>
  <c r="B31" i="13"/>
  <c r="B32" i="13"/>
  <c r="B33" i="13"/>
  <c r="D33" i="13" s="1"/>
  <c r="E33" i="13" s="1"/>
  <c r="F33" i="13" s="1"/>
  <c r="B34" i="13"/>
  <c r="B35" i="13"/>
  <c r="B36" i="13"/>
  <c r="B37" i="13"/>
  <c r="B38" i="13"/>
  <c r="B39" i="13"/>
  <c r="B40" i="13"/>
  <c r="B41" i="13"/>
  <c r="B42" i="13"/>
  <c r="B43" i="13"/>
  <c r="B44" i="13"/>
  <c r="B45" i="13"/>
  <c r="D45" i="13" s="1"/>
  <c r="E45" i="13" s="1"/>
  <c r="F45" i="13" s="1"/>
  <c r="B46" i="13"/>
  <c r="B47" i="13"/>
  <c r="D47" i="13" s="1"/>
  <c r="E47" i="13" s="1"/>
  <c r="F47" i="13" s="1"/>
  <c r="B48" i="13"/>
  <c r="B49" i="13"/>
  <c r="D49" i="13" s="1"/>
  <c r="E49" i="13" s="1"/>
  <c r="F49" i="13" s="1"/>
  <c r="B50" i="13"/>
  <c r="B51" i="13"/>
  <c r="B52" i="13"/>
  <c r="B53" i="13"/>
  <c r="B54" i="13"/>
  <c r="B55" i="13"/>
  <c r="B56" i="13"/>
  <c r="B57" i="13"/>
  <c r="D57" i="13" s="1"/>
  <c r="E57" i="13" s="1"/>
  <c r="F57" i="13" s="1"/>
  <c r="B58" i="13"/>
  <c r="B59" i="13"/>
  <c r="D59" i="13" s="1"/>
  <c r="E59" i="13" s="1"/>
  <c r="F59" i="13" s="1"/>
  <c r="B60" i="13"/>
  <c r="B61" i="13"/>
  <c r="D61" i="13" s="1"/>
  <c r="E61" i="13" s="1"/>
  <c r="F61" i="13" s="1"/>
  <c r="B62" i="13"/>
  <c r="B63" i="13"/>
  <c r="B64" i="13"/>
  <c r="B65" i="13"/>
  <c r="B66" i="13"/>
  <c r="B67" i="13"/>
  <c r="B68" i="13"/>
  <c r="B69" i="13"/>
  <c r="D69" i="13" s="1"/>
  <c r="E69" i="13" s="1"/>
  <c r="F69" i="13" s="1"/>
  <c r="B70" i="13"/>
  <c r="B71" i="13"/>
  <c r="D71" i="13" s="1"/>
  <c r="E71" i="13" s="1"/>
  <c r="F71" i="13" s="1"/>
  <c r="B72" i="13"/>
  <c r="B73" i="13"/>
  <c r="D73" i="13" s="1"/>
  <c r="E73" i="13" s="1"/>
  <c r="F73" i="13" s="1"/>
  <c r="B74" i="13"/>
  <c r="B75" i="13"/>
  <c r="B76" i="13"/>
  <c r="B77" i="13"/>
  <c r="B78" i="13"/>
  <c r="B79" i="13"/>
  <c r="B80" i="13"/>
  <c r="B81" i="13"/>
  <c r="D81" i="13" s="1"/>
  <c r="E81" i="13" s="1"/>
  <c r="F81" i="13" s="1"/>
  <c r="B82" i="13"/>
  <c r="B83" i="13"/>
  <c r="B84" i="13"/>
  <c r="B85" i="13"/>
  <c r="D85" i="13" s="1"/>
  <c r="E85" i="13" s="1"/>
  <c r="F85" i="13" s="1"/>
  <c r="B86" i="13"/>
  <c r="B87" i="13"/>
  <c r="B88" i="13"/>
  <c r="B89" i="13"/>
  <c r="B90" i="13"/>
  <c r="B91" i="13"/>
  <c r="D14" i="13"/>
  <c r="E14" i="13" s="1"/>
  <c r="F14" i="13" s="1"/>
  <c r="D15" i="13"/>
  <c r="E15" i="13" s="1"/>
  <c r="F15" i="13" s="1"/>
  <c r="D26" i="13"/>
  <c r="E26" i="13" s="1"/>
  <c r="F26" i="13" s="1"/>
  <c r="D27" i="13"/>
  <c r="E27" i="13" s="1"/>
  <c r="F27" i="13" s="1"/>
  <c r="D37" i="13"/>
  <c r="E37" i="13" s="1"/>
  <c r="F37" i="13" s="1"/>
  <c r="D38" i="13"/>
  <c r="E38" i="13" s="1"/>
  <c r="F38" i="13" s="1"/>
  <c r="D39" i="13"/>
  <c r="E39" i="13" s="1"/>
  <c r="F39" i="13" s="1"/>
  <c r="D50" i="13"/>
  <c r="E50" i="13" s="1"/>
  <c r="F50" i="13" s="1"/>
  <c r="D51" i="13"/>
  <c r="E51" i="13" s="1"/>
  <c r="F51" i="13" s="1"/>
  <c r="D62" i="13"/>
  <c r="E62" i="13" s="1"/>
  <c r="F62" i="13" s="1"/>
  <c r="D63" i="13"/>
  <c r="E63" i="13" s="1"/>
  <c r="F63" i="13" s="1"/>
  <c r="D72" i="13"/>
  <c r="E72" i="13" s="1"/>
  <c r="F72" i="13" s="1"/>
  <c r="D74" i="13"/>
  <c r="E74" i="13" s="1"/>
  <c r="F74" i="13" s="1"/>
  <c r="D75" i="13"/>
  <c r="E75" i="13" s="1"/>
  <c r="F75" i="13" s="1"/>
  <c r="D76" i="13"/>
  <c r="E76" i="13" s="1"/>
  <c r="F76" i="13" s="1"/>
  <c r="D86" i="13"/>
  <c r="E86" i="13" s="1"/>
  <c r="F86" i="13" s="1"/>
  <c r="D87" i="13"/>
  <c r="E87" i="13" s="1"/>
  <c r="F87" i="13" s="1"/>
  <c r="D91" i="13"/>
  <c r="E91" i="13" s="1"/>
  <c r="F91" i="13" s="1"/>
  <c r="D35" i="13"/>
  <c r="E35" i="13" s="1"/>
  <c r="F35" i="13" s="1"/>
  <c r="D83" i="13"/>
  <c r="E83" i="13" s="1"/>
  <c r="F83" i="13" s="1"/>
  <c r="D36" i="13"/>
  <c r="E36" i="13" s="1"/>
  <c r="F36" i="13" s="1"/>
  <c r="D60" i="13"/>
  <c r="E60" i="13" s="1"/>
  <c r="F60" i="13" s="1"/>
  <c r="D90" i="13"/>
  <c r="E90" i="13" s="1"/>
  <c r="F90" i="13" s="1"/>
  <c r="D89" i="13"/>
  <c r="E89" i="13" s="1"/>
  <c r="F89" i="13" s="1"/>
  <c r="D88" i="13"/>
  <c r="E88" i="13" s="1"/>
  <c r="F88" i="13" s="1"/>
  <c r="D84" i="13"/>
  <c r="E84" i="13" s="1"/>
  <c r="F84" i="13" s="1"/>
  <c r="D82" i="13"/>
  <c r="E82" i="13" s="1"/>
  <c r="F82" i="13" s="1"/>
  <c r="D80" i="13"/>
  <c r="E80" i="13" s="1"/>
  <c r="F80" i="13" s="1"/>
  <c r="D79" i="13"/>
  <c r="E79" i="13" s="1"/>
  <c r="F79" i="13" s="1"/>
  <c r="D78" i="13"/>
  <c r="E78" i="13" s="1"/>
  <c r="F78" i="13" s="1"/>
  <c r="D77" i="13"/>
  <c r="E77" i="13" s="1"/>
  <c r="F77" i="13" s="1"/>
  <c r="D70" i="13"/>
  <c r="E70" i="13" s="1"/>
  <c r="F70" i="13" s="1"/>
  <c r="D68" i="13"/>
  <c r="E68" i="13" s="1"/>
  <c r="F68" i="13" s="1"/>
  <c r="D67" i="13"/>
  <c r="E67" i="13" s="1"/>
  <c r="F67" i="13" s="1"/>
  <c r="D66" i="13"/>
  <c r="E66" i="13" s="1"/>
  <c r="F66" i="13" s="1"/>
  <c r="D65" i="13"/>
  <c r="E65" i="13" s="1"/>
  <c r="F65" i="13" s="1"/>
  <c r="D64" i="13"/>
  <c r="E64" i="13" s="1"/>
  <c r="F64" i="13" s="1"/>
  <c r="D58" i="13"/>
  <c r="E58" i="13" s="1"/>
  <c r="F58" i="13" s="1"/>
  <c r="D56" i="13"/>
  <c r="E56" i="13" s="1"/>
  <c r="F56" i="13" s="1"/>
  <c r="D55" i="13"/>
  <c r="E55" i="13" s="1"/>
  <c r="F55" i="13" s="1"/>
  <c r="D54" i="13"/>
  <c r="E54" i="13" s="1"/>
  <c r="F54" i="13" s="1"/>
  <c r="D53" i="13"/>
  <c r="E53" i="13" s="1"/>
  <c r="F53" i="13" s="1"/>
  <c r="D52" i="13"/>
  <c r="E52" i="13" s="1"/>
  <c r="F52" i="13" s="1"/>
  <c r="D48" i="13"/>
  <c r="E48" i="13" s="1"/>
  <c r="F48" i="13" s="1"/>
  <c r="D46" i="13"/>
  <c r="E46" i="13" s="1"/>
  <c r="F46" i="13" s="1"/>
  <c r="D44" i="13"/>
  <c r="E44" i="13" s="1"/>
  <c r="F44" i="13" s="1"/>
  <c r="D43" i="13"/>
  <c r="E43" i="13" s="1"/>
  <c r="F43" i="13" s="1"/>
  <c r="D42" i="13"/>
  <c r="E42" i="13" s="1"/>
  <c r="F42" i="13" s="1"/>
  <c r="D41" i="13"/>
  <c r="E41" i="13" s="1"/>
  <c r="F41" i="13" s="1"/>
  <c r="D40" i="13"/>
  <c r="E40" i="13" s="1"/>
  <c r="F40" i="13" s="1"/>
  <c r="D34" i="13"/>
  <c r="E34" i="13" s="1"/>
  <c r="F34" i="13" s="1"/>
  <c r="D32" i="13"/>
  <c r="E32" i="13" s="1"/>
  <c r="F32" i="13" s="1"/>
  <c r="D31" i="13"/>
  <c r="E31" i="13" s="1"/>
  <c r="F31" i="13" s="1"/>
  <c r="D30" i="13"/>
  <c r="E30" i="13" s="1"/>
  <c r="F30" i="13" s="1"/>
  <c r="D29" i="13"/>
  <c r="E29" i="13" s="1"/>
  <c r="F29" i="13" s="1"/>
  <c r="D28" i="13"/>
  <c r="E28" i="13" s="1"/>
  <c r="F28" i="13" s="1"/>
  <c r="D24" i="13"/>
  <c r="E24" i="13" s="1"/>
  <c r="F24" i="13" s="1"/>
  <c r="D22" i="13"/>
  <c r="E22" i="13" s="1"/>
  <c r="F22" i="13" s="1"/>
  <c r="D20" i="13"/>
  <c r="E20" i="13" s="1"/>
  <c r="F20" i="13" s="1"/>
  <c r="D19" i="13"/>
  <c r="E19" i="13" s="1"/>
  <c r="F19" i="13" s="1"/>
  <c r="D18" i="13"/>
  <c r="E18" i="13" s="1"/>
  <c r="F18" i="13" s="1"/>
  <c r="D17" i="13"/>
  <c r="E17" i="13" s="1"/>
  <c r="F17" i="13" s="1"/>
  <c r="D16" i="13"/>
  <c r="E16" i="13" s="1"/>
  <c r="F16" i="13" s="1"/>
  <c r="D10" i="13"/>
  <c r="E10" i="13" s="1"/>
  <c r="F10" i="13" s="1"/>
  <c r="D8" i="13"/>
  <c r="E8" i="13" s="1"/>
  <c r="F8" i="13" s="1"/>
  <c r="D7" i="13"/>
  <c r="E7" i="13" s="1"/>
  <c r="F7" i="13" s="1"/>
  <c r="D6" i="13"/>
  <c r="E6" i="13" s="1"/>
  <c r="F6" i="13" s="1"/>
  <c r="D5" i="13"/>
  <c r="E5" i="13" s="1"/>
  <c r="F5" i="13" s="1"/>
  <c r="D4" i="13"/>
  <c r="E4" i="13" s="1"/>
  <c r="F4" i="13" s="1"/>
  <c r="D2" i="13"/>
  <c r="E2" i="13" s="1"/>
  <c r="F2" i="13" s="1"/>
  <c r="H36" i="14"/>
  <c r="H31" i="14"/>
  <c r="H32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H37" i="13" l="1" a="1"/>
  <c r="H37" i="13" s="1"/>
  <c r="D12" i="13"/>
  <c r="E12" i="13" s="1"/>
  <c r="F12" i="13" s="1"/>
  <c r="D13" i="13"/>
  <c r="E13" i="13" s="1"/>
  <c r="F13" i="13" s="1"/>
  <c r="D3" i="13"/>
  <c r="E3" i="13" s="1"/>
  <c r="F3" i="13" s="1"/>
  <c r="H26" i="13"/>
  <c r="H27" i="13" l="1"/>
  <c r="H4" i="13"/>
  <c r="B91" i="14" l="1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H47" i="6" a="1"/>
  <c r="H47" i="6" s="1"/>
  <c r="H46" i="6"/>
  <c r="H42" i="6"/>
  <c r="H41" i="6"/>
  <c r="H37" i="6"/>
  <c r="H36" i="6"/>
  <c r="H32" i="6"/>
  <c r="H30" i="6"/>
  <c r="H27" i="6"/>
  <c r="H26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H37" i="14" l="1" a="1"/>
  <c r="H37" i="14" s="1"/>
  <c r="H4" i="14"/>
  <c r="H27" i="14"/>
  <c r="H26" i="14"/>
  <c r="H37" i="7" a="1"/>
  <c r="H37" i="7" s="1"/>
  <c r="H36" i="7"/>
  <c r="H32" i="7"/>
  <c r="H31" i="7"/>
  <c r="H27" i="7"/>
  <c r="H26" i="7"/>
  <c r="H4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F2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H36" i="8"/>
  <c r="H32" i="8"/>
  <c r="H31" i="8"/>
  <c r="B3" i="8" l="1"/>
  <c r="D3" i="8" s="1"/>
  <c r="B4" i="8"/>
  <c r="D4" i="8" s="1"/>
  <c r="E4" i="8" s="1"/>
  <c r="F4" i="8" s="1"/>
  <c r="B5" i="8"/>
  <c r="D5" i="8" s="1"/>
  <c r="E5" i="8" s="1"/>
  <c r="F5" i="8" s="1"/>
  <c r="B6" i="8"/>
  <c r="D6" i="8" s="1"/>
  <c r="E6" i="8" s="1"/>
  <c r="F6" i="8" s="1"/>
  <c r="B7" i="8"/>
  <c r="D7" i="8" s="1"/>
  <c r="E7" i="8" s="1"/>
  <c r="F7" i="8" s="1"/>
  <c r="B8" i="8"/>
  <c r="D8" i="8" s="1"/>
  <c r="E8" i="8" s="1"/>
  <c r="F8" i="8" s="1"/>
  <c r="B9" i="8"/>
  <c r="D9" i="8" s="1"/>
  <c r="E9" i="8" s="1"/>
  <c r="F9" i="8" s="1"/>
  <c r="B10" i="8"/>
  <c r="D10" i="8" s="1"/>
  <c r="E10" i="8" s="1"/>
  <c r="F10" i="8" s="1"/>
  <c r="B11" i="8"/>
  <c r="D11" i="8" s="1"/>
  <c r="E11" i="8" s="1"/>
  <c r="F11" i="8" s="1"/>
  <c r="B12" i="8"/>
  <c r="D12" i="8" s="1"/>
  <c r="E12" i="8" s="1"/>
  <c r="F12" i="8" s="1"/>
  <c r="B13" i="8"/>
  <c r="D13" i="8" s="1"/>
  <c r="E13" i="8" s="1"/>
  <c r="F13" i="8" s="1"/>
  <c r="B14" i="8"/>
  <c r="D14" i="8" s="1"/>
  <c r="E14" i="8" s="1"/>
  <c r="F14" i="8" s="1"/>
  <c r="B15" i="8"/>
  <c r="D15" i="8" s="1"/>
  <c r="E15" i="8" s="1"/>
  <c r="F15" i="8" s="1"/>
  <c r="B16" i="8"/>
  <c r="D16" i="8" s="1"/>
  <c r="E16" i="8" s="1"/>
  <c r="F16" i="8" s="1"/>
  <c r="B17" i="8"/>
  <c r="D17" i="8" s="1"/>
  <c r="E17" i="8" s="1"/>
  <c r="F17" i="8" s="1"/>
  <c r="B18" i="8"/>
  <c r="D18" i="8" s="1"/>
  <c r="E18" i="8" s="1"/>
  <c r="F18" i="8" s="1"/>
  <c r="B19" i="8"/>
  <c r="D19" i="8" s="1"/>
  <c r="E19" i="8" s="1"/>
  <c r="F19" i="8" s="1"/>
  <c r="B20" i="8"/>
  <c r="D20" i="8" s="1"/>
  <c r="E20" i="8" s="1"/>
  <c r="F20" i="8" s="1"/>
  <c r="B21" i="8"/>
  <c r="D21" i="8" s="1"/>
  <c r="E21" i="8" s="1"/>
  <c r="F21" i="8" s="1"/>
  <c r="B22" i="8"/>
  <c r="D22" i="8" s="1"/>
  <c r="E22" i="8" s="1"/>
  <c r="F22" i="8" s="1"/>
  <c r="B23" i="8"/>
  <c r="D23" i="8" s="1"/>
  <c r="E23" i="8" s="1"/>
  <c r="F23" i="8" s="1"/>
  <c r="B24" i="8"/>
  <c r="D24" i="8" s="1"/>
  <c r="E24" i="8" s="1"/>
  <c r="F24" i="8" s="1"/>
  <c r="B25" i="8"/>
  <c r="D25" i="8" s="1"/>
  <c r="E25" i="8" s="1"/>
  <c r="F25" i="8" s="1"/>
  <c r="B26" i="8"/>
  <c r="D26" i="8" s="1"/>
  <c r="E26" i="8" s="1"/>
  <c r="F26" i="8" s="1"/>
  <c r="B27" i="8"/>
  <c r="D27" i="8" s="1"/>
  <c r="E27" i="8" s="1"/>
  <c r="F27" i="8" s="1"/>
  <c r="B28" i="8"/>
  <c r="D28" i="8" s="1"/>
  <c r="E28" i="8" s="1"/>
  <c r="F28" i="8" s="1"/>
  <c r="B29" i="8"/>
  <c r="D29" i="8" s="1"/>
  <c r="E29" i="8" s="1"/>
  <c r="F29" i="8" s="1"/>
  <c r="B30" i="8"/>
  <c r="D30" i="8" s="1"/>
  <c r="E30" i="8" s="1"/>
  <c r="F30" i="8" s="1"/>
  <c r="B31" i="8"/>
  <c r="D31" i="8" s="1"/>
  <c r="E31" i="8" s="1"/>
  <c r="F31" i="8" s="1"/>
  <c r="B32" i="8"/>
  <c r="D32" i="8" s="1"/>
  <c r="E32" i="8" s="1"/>
  <c r="F32" i="8" s="1"/>
  <c r="B33" i="8"/>
  <c r="D33" i="8" s="1"/>
  <c r="E33" i="8" s="1"/>
  <c r="F33" i="8" s="1"/>
  <c r="B34" i="8"/>
  <c r="D34" i="8" s="1"/>
  <c r="E34" i="8" s="1"/>
  <c r="F34" i="8" s="1"/>
  <c r="B35" i="8"/>
  <c r="D35" i="8" s="1"/>
  <c r="E35" i="8" s="1"/>
  <c r="F35" i="8" s="1"/>
  <c r="B36" i="8"/>
  <c r="D36" i="8" s="1"/>
  <c r="E36" i="8" s="1"/>
  <c r="F36" i="8" s="1"/>
  <c r="B37" i="8"/>
  <c r="D37" i="8" s="1"/>
  <c r="E37" i="8" s="1"/>
  <c r="F37" i="8" s="1"/>
  <c r="B38" i="8"/>
  <c r="D38" i="8" s="1"/>
  <c r="E38" i="8" s="1"/>
  <c r="F38" i="8" s="1"/>
  <c r="B39" i="8"/>
  <c r="D39" i="8" s="1"/>
  <c r="E39" i="8" s="1"/>
  <c r="F39" i="8" s="1"/>
  <c r="B40" i="8"/>
  <c r="D40" i="8" s="1"/>
  <c r="E40" i="8" s="1"/>
  <c r="F40" i="8" s="1"/>
  <c r="B41" i="8"/>
  <c r="D41" i="8" s="1"/>
  <c r="E41" i="8" s="1"/>
  <c r="F41" i="8" s="1"/>
  <c r="B42" i="8"/>
  <c r="D42" i="8" s="1"/>
  <c r="E42" i="8" s="1"/>
  <c r="F42" i="8" s="1"/>
  <c r="B43" i="8"/>
  <c r="D43" i="8" s="1"/>
  <c r="E43" i="8" s="1"/>
  <c r="F43" i="8" s="1"/>
  <c r="B44" i="8"/>
  <c r="D44" i="8" s="1"/>
  <c r="E44" i="8" s="1"/>
  <c r="F44" i="8" s="1"/>
  <c r="B45" i="8"/>
  <c r="D45" i="8" s="1"/>
  <c r="E45" i="8" s="1"/>
  <c r="F45" i="8" s="1"/>
  <c r="B46" i="8"/>
  <c r="D46" i="8" s="1"/>
  <c r="E46" i="8" s="1"/>
  <c r="F46" i="8" s="1"/>
  <c r="B47" i="8"/>
  <c r="D47" i="8" s="1"/>
  <c r="E47" i="8" s="1"/>
  <c r="F47" i="8" s="1"/>
  <c r="B48" i="8"/>
  <c r="D48" i="8" s="1"/>
  <c r="E48" i="8" s="1"/>
  <c r="F48" i="8" s="1"/>
  <c r="B49" i="8"/>
  <c r="D49" i="8" s="1"/>
  <c r="E49" i="8" s="1"/>
  <c r="F49" i="8" s="1"/>
  <c r="B50" i="8"/>
  <c r="D50" i="8" s="1"/>
  <c r="E50" i="8" s="1"/>
  <c r="F50" i="8" s="1"/>
  <c r="B51" i="8"/>
  <c r="D51" i="8" s="1"/>
  <c r="E51" i="8" s="1"/>
  <c r="F51" i="8" s="1"/>
  <c r="B52" i="8"/>
  <c r="D52" i="8" s="1"/>
  <c r="E52" i="8" s="1"/>
  <c r="F52" i="8" s="1"/>
  <c r="B53" i="8"/>
  <c r="D53" i="8" s="1"/>
  <c r="E53" i="8" s="1"/>
  <c r="F53" i="8" s="1"/>
  <c r="B54" i="8"/>
  <c r="D54" i="8" s="1"/>
  <c r="E54" i="8" s="1"/>
  <c r="F54" i="8" s="1"/>
  <c r="B55" i="8"/>
  <c r="D55" i="8" s="1"/>
  <c r="E55" i="8" s="1"/>
  <c r="F55" i="8" s="1"/>
  <c r="B56" i="8"/>
  <c r="D56" i="8" s="1"/>
  <c r="E56" i="8" s="1"/>
  <c r="F56" i="8" s="1"/>
  <c r="B57" i="8"/>
  <c r="D57" i="8" s="1"/>
  <c r="E57" i="8" s="1"/>
  <c r="F57" i="8" s="1"/>
  <c r="B58" i="8"/>
  <c r="D58" i="8" s="1"/>
  <c r="E58" i="8" s="1"/>
  <c r="F58" i="8" s="1"/>
  <c r="B59" i="8"/>
  <c r="D59" i="8" s="1"/>
  <c r="E59" i="8" s="1"/>
  <c r="F59" i="8" s="1"/>
  <c r="B60" i="8"/>
  <c r="D60" i="8" s="1"/>
  <c r="E60" i="8" s="1"/>
  <c r="F60" i="8" s="1"/>
  <c r="B61" i="8"/>
  <c r="D61" i="8" s="1"/>
  <c r="E61" i="8" s="1"/>
  <c r="F61" i="8" s="1"/>
  <c r="B62" i="8"/>
  <c r="D62" i="8" s="1"/>
  <c r="E62" i="8" s="1"/>
  <c r="F62" i="8" s="1"/>
  <c r="B63" i="8"/>
  <c r="D63" i="8" s="1"/>
  <c r="E63" i="8" s="1"/>
  <c r="F63" i="8" s="1"/>
  <c r="B64" i="8"/>
  <c r="D64" i="8" s="1"/>
  <c r="E64" i="8" s="1"/>
  <c r="F64" i="8" s="1"/>
  <c r="B65" i="8"/>
  <c r="D65" i="8" s="1"/>
  <c r="E65" i="8" s="1"/>
  <c r="F65" i="8" s="1"/>
  <c r="B66" i="8"/>
  <c r="D66" i="8" s="1"/>
  <c r="E66" i="8" s="1"/>
  <c r="F66" i="8" s="1"/>
  <c r="B67" i="8"/>
  <c r="D67" i="8" s="1"/>
  <c r="E67" i="8" s="1"/>
  <c r="F67" i="8" s="1"/>
  <c r="B68" i="8"/>
  <c r="D68" i="8" s="1"/>
  <c r="E68" i="8" s="1"/>
  <c r="F68" i="8" s="1"/>
  <c r="B69" i="8"/>
  <c r="D69" i="8" s="1"/>
  <c r="E69" i="8" s="1"/>
  <c r="F69" i="8" s="1"/>
  <c r="B70" i="8"/>
  <c r="D70" i="8" s="1"/>
  <c r="E70" i="8" s="1"/>
  <c r="F70" i="8" s="1"/>
  <c r="B71" i="8"/>
  <c r="D71" i="8" s="1"/>
  <c r="E71" i="8" s="1"/>
  <c r="F71" i="8" s="1"/>
  <c r="B72" i="8"/>
  <c r="D72" i="8" s="1"/>
  <c r="E72" i="8" s="1"/>
  <c r="F72" i="8" s="1"/>
  <c r="B73" i="8"/>
  <c r="D73" i="8" s="1"/>
  <c r="E73" i="8" s="1"/>
  <c r="F73" i="8" s="1"/>
  <c r="B74" i="8"/>
  <c r="D74" i="8" s="1"/>
  <c r="E74" i="8" s="1"/>
  <c r="F74" i="8" s="1"/>
  <c r="B75" i="8"/>
  <c r="D75" i="8" s="1"/>
  <c r="E75" i="8" s="1"/>
  <c r="F75" i="8" s="1"/>
  <c r="B76" i="8"/>
  <c r="D76" i="8" s="1"/>
  <c r="E76" i="8" s="1"/>
  <c r="F76" i="8" s="1"/>
  <c r="B77" i="8"/>
  <c r="D77" i="8" s="1"/>
  <c r="E77" i="8" s="1"/>
  <c r="F77" i="8" s="1"/>
  <c r="B78" i="8"/>
  <c r="D78" i="8" s="1"/>
  <c r="E78" i="8" s="1"/>
  <c r="F78" i="8" s="1"/>
  <c r="B79" i="8"/>
  <c r="D79" i="8" s="1"/>
  <c r="E79" i="8" s="1"/>
  <c r="F79" i="8" s="1"/>
  <c r="B80" i="8"/>
  <c r="D80" i="8" s="1"/>
  <c r="E80" i="8" s="1"/>
  <c r="F80" i="8" s="1"/>
  <c r="B81" i="8"/>
  <c r="D81" i="8" s="1"/>
  <c r="E81" i="8" s="1"/>
  <c r="F81" i="8" s="1"/>
  <c r="B82" i="8"/>
  <c r="D82" i="8" s="1"/>
  <c r="E82" i="8" s="1"/>
  <c r="F82" i="8" s="1"/>
  <c r="B83" i="8"/>
  <c r="D83" i="8" s="1"/>
  <c r="E83" i="8" s="1"/>
  <c r="F83" i="8" s="1"/>
  <c r="B84" i="8"/>
  <c r="D84" i="8" s="1"/>
  <c r="E84" i="8" s="1"/>
  <c r="F84" i="8" s="1"/>
  <c r="B85" i="8"/>
  <c r="D85" i="8" s="1"/>
  <c r="E85" i="8" s="1"/>
  <c r="F85" i="8" s="1"/>
  <c r="B86" i="8"/>
  <c r="D86" i="8" s="1"/>
  <c r="E86" i="8" s="1"/>
  <c r="F86" i="8" s="1"/>
  <c r="B87" i="8"/>
  <c r="D87" i="8" s="1"/>
  <c r="E87" i="8" s="1"/>
  <c r="F87" i="8" s="1"/>
  <c r="B88" i="8"/>
  <c r="D88" i="8" s="1"/>
  <c r="E88" i="8" s="1"/>
  <c r="F88" i="8" s="1"/>
  <c r="B89" i="8"/>
  <c r="D89" i="8" s="1"/>
  <c r="E89" i="8" s="1"/>
  <c r="F89" i="8" s="1"/>
  <c r="B90" i="8"/>
  <c r="D90" i="8" s="1"/>
  <c r="E90" i="8" s="1"/>
  <c r="F90" i="8" s="1"/>
  <c r="B91" i="8"/>
  <c r="D91" i="8" s="1"/>
  <c r="E91" i="8" s="1"/>
  <c r="F91" i="8" s="1"/>
  <c r="B2" i="8"/>
  <c r="H25" i="1"/>
  <c r="H35" i="1"/>
  <c r="H45" i="1"/>
  <c r="H46" i="1" a="1"/>
  <c r="H46" i="1" s="1"/>
  <c r="H40" i="1"/>
  <c r="H41" i="1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 s="1"/>
  <c r="E38" i="1" s="1"/>
  <c r="C39" i="1"/>
  <c r="D39" i="1" s="1"/>
  <c r="E39" i="1" s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E53" i="1" s="1"/>
  <c r="C54" i="1"/>
  <c r="D54" i="1" s="1"/>
  <c r="E54" i="1" s="1"/>
  <c r="C55" i="1"/>
  <c r="D55" i="1" s="1"/>
  <c r="E55" i="1" s="1"/>
  <c r="C56" i="1"/>
  <c r="D56" i="1" s="1"/>
  <c r="E56" i="1" s="1"/>
  <c r="C57" i="1"/>
  <c r="D57" i="1" s="1"/>
  <c r="E57" i="1" s="1"/>
  <c r="C58" i="1"/>
  <c r="D58" i="1" s="1"/>
  <c r="E58" i="1" s="1"/>
  <c r="C59" i="1"/>
  <c r="D59" i="1" s="1"/>
  <c r="E59" i="1" s="1"/>
  <c r="C60" i="1"/>
  <c r="D60" i="1" s="1"/>
  <c r="E60" i="1" s="1"/>
  <c r="C61" i="1"/>
  <c r="D61" i="1" s="1"/>
  <c r="E61" i="1" s="1"/>
  <c r="C62" i="1"/>
  <c r="D62" i="1" s="1"/>
  <c r="E62" i="1" s="1"/>
  <c r="C63" i="1"/>
  <c r="D63" i="1" s="1"/>
  <c r="E63" i="1" s="1"/>
  <c r="C64" i="1"/>
  <c r="D64" i="1" s="1"/>
  <c r="E64" i="1" s="1"/>
  <c r="C65" i="1"/>
  <c r="D65" i="1" s="1"/>
  <c r="E65" i="1" s="1"/>
  <c r="C66" i="1"/>
  <c r="D66" i="1" s="1"/>
  <c r="E66" i="1" s="1"/>
  <c r="C67" i="1"/>
  <c r="D67" i="1" s="1"/>
  <c r="E67" i="1" s="1"/>
  <c r="C68" i="1"/>
  <c r="D68" i="1" s="1"/>
  <c r="E68" i="1" s="1"/>
  <c r="C69" i="1"/>
  <c r="D69" i="1" s="1"/>
  <c r="E69" i="1" s="1"/>
  <c r="C70" i="1"/>
  <c r="D70" i="1" s="1"/>
  <c r="E70" i="1" s="1"/>
  <c r="C71" i="1"/>
  <c r="D71" i="1" s="1"/>
  <c r="E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E76" i="1" s="1"/>
  <c r="C77" i="1"/>
  <c r="D77" i="1" s="1"/>
  <c r="E77" i="1" s="1"/>
  <c r="C78" i="1"/>
  <c r="D78" i="1" s="1"/>
  <c r="E78" i="1" s="1"/>
  <c r="C79" i="1"/>
  <c r="D79" i="1" s="1"/>
  <c r="E79" i="1" s="1"/>
  <c r="C80" i="1"/>
  <c r="D80" i="1" s="1"/>
  <c r="E80" i="1" s="1"/>
  <c r="C81" i="1"/>
  <c r="D81" i="1" s="1"/>
  <c r="E81" i="1" s="1"/>
  <c r="C82" i="1"/>
  <c r="D82" i="1" s="1"/>
  <c r="E82" i="1" s="1"/>
  <c r="C83" i="1"/>
  <c r="D83" i="1" s="1"/>
  <c r="E83" i="1" s="1"/>
  <c r="C84" i="1"/>
  <c r="D84" i="1" s="1"/>
  <c r="E84" i="1" s="1"/>
  <c r="C85" i="1"/>
  <c r="D85" i="1" s="1"/>
  <c r="E85" i="1" s="1"/>
  <c r="C86" i="1"/>
  <c r="D86" i="1" s="1"/>
  <c r="E86" i="1" s="1"/>
  <c r="C87" i="1"/>
  <c r="D87" i="1" s="1"/>
  <c r="E87" i="1" s="1"/>
  <c r="C88" i="1"/>
  <c r="D88" i="1" s="1"/>
  <c r="E88" i="1" s="1"/>
  <c r="C89" i="1"/>
  <c r="D89" i="1" s="1"/>
  <c r="E89" i="1" s="1"/>
  <c r="C90" i="1"/>
  <c r="D90" i="1" s="1"/>
  <c r="E90" i="1" s="1"/>
  <c r="C91" i="1"/>
  <c r="D91" i="1" s="1"/>
  <c r="E91" i="1" s="1"/>
  <c r="F91" i="1" s="1"/>
  <c r="C2" i="1"/>
  <c r="D2" i="1" s="1"/>
  <c r="E2" i="1" s="1"/>
  <c r="H37" i="8" l="1" a="1"/>
  <c r="H37" i="8" s="1"/>
  <c r="H26" i="8"/>
  <c r="D2" i="8"/>
  <c r="E2" i="8" s="1"/>
  <c r="H36" i="1"/>
  <c r="H28" i="1"/>
  <c r="F84" i="1"/>
  <c r="F72" i="1"/>
  <c r="F60" i="1"/>
  <c r="F48" i="1"/>
  <c r="F36" i="1"/>
  <c r="F24" i="1"/>
  <c r="F12" i="1"/>
  <c r="F57" i="1"/>
  <c r="F79" i="1"/>
  <c r="F67" i="1"/>
  <c r="F55" i="1"/>
  <c r="F43" i="1"/>
  <c r="F31" i="1"/>
  <c r="F19" i="1"/>
  <c r="F7" i="1"/>
  <c r="F71" i="1"/>
  <c r="F59" i="1"/>
  <c r="F47" i="1"/>
  <c r="F35" i="1"/>
  <c r="F23" i="1"/>
  <c r="F11" i="1"/>
  <c r="F81" i="1"/>
  <c r="F69" i="1"/>
  <c r="F56" i="1"/>
  <c r="F45" i="1"/>
  <c r="F33" i="1"/>
  <c r="F21" i="1"/>
  <c r="F9" i="1"/>
  <c r="F78" i="1"/>
  <c r="F42" i="1"/>
  <c r="F87" i="1"/>
  <c r="F75" i="1"/>
  <c r="F63" i="1"/>
  <c r="F51" i="1"/>
  <c r="F3" i="1"/>
  <c r="F27" i="1"/>
  <c r="F86" i="1"/>
  <c r="F39" i="1"/>
  <c r="F2" i="1"/>
  <c r="F80" i="1"/>
  <c r="F68" i="1"/>
  <c r="F44" i="1"/>
  <c r="F32" i="1"/>
  <c r="F20" i="1"/>
  <c r="F8" i="1"/>
  <c r="F90" i="1"/>
  <c r="F54" i="1"/>
  <c r="F18" i="1"/>
  <c r="F6" i="1"/>
  <c r="F89" i="1"/>
  <c r="F88" i="1"/>
  <c r="F76" i="1"/>
  <c r="F64" i="1"/>
  <c r="F52" i="1"/>
  <c r="F40" i="1"/>
  <c r="F28" i="1"/>
  <c r="F16" i="1"/>
  <c r="F4" i="1"/>
  <c r="F65" i="1"/>
  <c r="F15" i="1"/>
  <c r="F77" i="1"/>
  <c r="F74" i="1"/>
  <c r="F62" i="1"/>
  <c r="F50" i="1"/>
  <c r="F38" i="1"/>
  <c r="F26" i="1"/>
  <c r="F14" i="1"/>
  <c r="F85" i="1"/>
  <c r="F73" i="1"/>
  <c r="F61" i="1"/>
  <c r="F49" i="1"/>
  <c r="F37" i="1"/>
  <c r="F25" i="1"/>
  <c r="F13" i="1"/>
  <c r="F29" i="1"/>
  <c r="F17" i="1"/>
  <c r="F82" i="1"/>
  <c r="F58" i="1"/>
  <c r="F46" i="1"/>
  <c r="F34" i="1"/>
  <c r="F22" i="1"/>
  <c r="F10" i="1"/>
  <c r="F66" i="1"/>
  <c r="F41" i="1"/>
  <c r="F83" i="1"/>
  <c r="F70" i="1"/>
  <c r="F53" i="1"/>
  <c r="F5" i="1"/>
  <c r="F30" i="1"/>
  <c r="H24" i="1"/>
  <c r="F2" i="8" l="1"/>
  <c r="H30" i="1"/>
  <c r="E3" i="8" l="1"/>
  <c r="F3" i="8" l="1"/>
  <c r="H4" i="8" s="1"/>
  <c r="H2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<sst xmlns="http://schemas.openxmlformats.org/spreadsheetml/2006/main" count="363" uniqueCount="86">
  <si>
    <t>X</t>
  </si>
  <si>
    <t>Y</t>
  </si>
  <si>
    <t>Z</t>
  </si>
  <si>
    <t>df</t>
  </si>
  <si>
    <t>SS</t>
  </si>
  <si>
    <t>MS</t>
  </si>
  <si>
    <t>F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</si>
  <si>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</si>
  <si>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</si>
  <si>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</si>
  <si>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</si>
  <si>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</si>
  <si>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</si>
  <si>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</si>
  <si>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</si>
  <si>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</si>
  <si>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</si>
  <si>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</si>
  <si>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</si>
  <si>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</si>
  <si>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</si>
  <si>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</si>
  <si>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</si>
  <si>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</si>
  <si>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</si>
  <si>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</si>
  <si>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</si>
  <si>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ВЫВОД ОСТАТКА</t>
  </si>
  <si>
    <t>Наблюдение</t>
  </si>
  <si>
    <t>Остатки</t>
  </si>
  <si>
    <t>Стандартные остатки</t>
  </si>
  <si>
    <t>Предсказанное Z</t>
  </si>
  <si>
    <t>b</t>
  </si>
  <si>
    <t>В начальный момент предсказанное значение Z было равно а</t>
  </si>
  <si>
    <t>При шаге в одну единицу Z в среднем изменяется на b</t>
  </si>
  <si>
    <t>Выводы</t>
  </si>
  <si>
    <t>Средняя ошибка аппроксимации</t>
  </si>
  <si>
    <t>Нормированные остатки</t>
  </si>
  <si>
    <t>Средняя эластичность</t>
  </si>
  <si>
    <t>Значения</t>
  </si>
  <si>
    <t>Шаг остатка</t>
  </si>
  <si>
    <t>МE = 0</t>
  </si>
  <si>
    <t>Dei = const</t>
  </si>
  <si>
    <t>(Вообще, в условиях теста Дарбина-Уотсона требуется, чтобы ME=0 выполнялось)</t>
  </si>
  <si>
    <t>Не выполнены 1 и 3 условия!</t>
  </si>
  <si>
    <t>Также видим, что модель явно имеет не линейную зависимость, модель данных и их устройство явно отличны друг от друга</t>
  </si>
  <si>
    <t>В общем, всё плохо</t>
  </si>
  <si>
    <t>Коэффициент корреляции rxz</t>
  </si>
  <si>
    <t>Коэффициент детерминации R²</t>
  </si>
  <si>
    <t>Так как коэффициенты уж слишком низкие, можем говорить лишь о малой связи X и Z, а также о плохой линеаризуемости данных</t>
  </si>
  <si>
    <t>F-тест</t>
  </si>
  <si>
    <t>F-критическое</t>
  </si>
  <si>
    <t>F-статистика</t>
  </si>
  <si>
    <t>t-критическое</t>
  </si>
  <si>
    <t>t-тест (на качество коэффициента a)</t>
  </si>
  <si>
    <t>a</t>
  </si>
  <si>
    <t>Выводы, значения</t>
  </si>
  <si>
    <t>Проверка условий Гаусса-Маркова</t>
  </si>
  <si>
    <t>На графике остатков не наблюдаем никаких "воронок", точки случайно распределены по полю</t>
  </si>
  <si>
    <t>1/X</t>
  </si>
  <si>
    <t>ln(X)</t>
  </si>
  <si>
    <t>Предсказанные значения</t>
  </si>
  <si>
    <t>Коэффициенты низкие, малая корреляционная зависимость</t>
  </si>
  <si>
    <t>Отвергаем гипотезу об описании данных гиперболической зависимостью (alpha = 0.05)</t>
  </si>
  <si>
    <t>Принимаем гипотезу о равенстве a = 0 (alpha = 0.05)</t>
  </si>
  <si>
    <t>Высокая средняя ошибка :(</t>
  </si>
  <si>
    <t>Ошибка даже выше, чем при линейной модели!</t>
  </si>
  <si>
    <t>Все модели плохо аппроксимируют зависимость между X и Z, наименьшую среднюю ошибку показала линейная модель, наибольшую t- и F-статистики - гиперболическая (при этом линейная показала лучшие результаты в сравнении с логарифмической</t>
  </si>
  <si>
    <t>Отсутствие автокорреляции (cov(ei,ej) = 0)</t>
  </si>
  <si>
    <t>При изменении y на одну единицу Z в среднем изменяется на b</t>
  </si>
  <si>
    <t>Вообще, можем сразу предположить плохой результат аппроксимации по Y на основе выводов из аппроксимации по X, так как между ними наблюдается чёткая линейная зависимость</t>
  </si>
  <si>
    <t>Визуально на графике остатков точки случайно распределены вокруг 0</t>
  </si>
  <si>
    <t>Должно быть близко к 2, чтобы автокорреляция отсутствовала</t>
  </si>
  <si>
    <t>К тому же модель явно имеет не линейную зависимость</t>
  </si>
  <si>
    <t>Имеем малую связь между Y и Z, данные плохо линеаризуемы, так как R явно не близок к 1</t>
  </si>
  <si>
    <t>Модель имеет плохое качество на уровне значимости alpha = 0.05</t>
  </si>
  <si>
    <t>a = 0 на уровне значимости alpha = 0.05</t>
  </si>
  <si>
    <t>1/Y</t>
  </si>
  <si>
    <t>Отвергаем гипотезу об описании данных гиперболической зависимостью на уровне значимости alpha = 0.05</t>
  </si>
  <si>
    <t>Ошибка та же, что и при линейной модели</t>
  </si>
  <si>
    <t>exp(-0.01Y)</t>
  </si>
  <si>
    <t>Коэффициенты низкие, малая корреляционная зависимость (однако уже лучше линейной)</t>
  </si>
  <si>
    <t>Отвергаем гипотезу об описании данных экспоненциальной зависимостью на уровне значимости alpha = 0.05</t>
  </si>
  <si>
    <t>Принимаем гипотезу о равенстве a = 0 (alpha = 0.05,  t-статистика &lt; t-критическое)</t>
  </si>
  <si>
    <t>Отвергаем гипотезу об описании данных линейной зависимостью (alpha = 0.05, F-статистика &lt; F-критическое)</t>
  </si>
  <si>
    <t>Лучше всего себя показала экспоненциальная модель, дав лучшие оценки качества (тесты + коэффициенты). Пусть мы и выбирали лучшее из худших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</si>
</sst>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E+0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theme="1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164" fontId="0" fillId="0" borderId="0" xfId="0" applyNumberFormat="1"/>
    <xf numFmtId="164" fontId="0" fillId="0" borderId="1" xfId="0" applyNumberFormat="1" applyBorder="1"/>
    <xf numFmtId="164" fontId="1" fillId="0" borderId="2" xfId="0" applyNumberFormat="1" applyFont="1" applyBorder="1" applyAlignment="1">
      <alignment horizontal="center"/>
    </xf>
    <xf numFmtId="0" fontId="3" fillId="0" borderId="0" xfId="0" applyFont="1"/>
    <xf numFmtId="0" fontId="2" fillId="2" borderId="3" xfId="1"/>
    <xf numFmtId="164" fontId="2" fillId="2" borderId="3" xfId="1" applyNumberFormat="1" applyAlignment="1"/>
    <xf numFmtId="164" fontId="2" fillId="2" borderId="3" xfId="1" applyNumberFormat="1"/>
    <xf numFmtId="11" fontId="2" fillId="2" borderId="3" xfId="1" applyNumberFormat="1"/>
    <xf numFmtId="165" fontId="0" fillId="0" borderId="0" xfId="0" applyNumberFormat="1"/>
    <xf numFmtId="0" fontId="0" fillId="3" borderId="0" xfId="0" applyFill="1"/>
    <xf numFmtId="0" fontId="0" fillId="0" borderId="4" xfId="0" applyBorder="1"/>
    <xf numFmtId="0" fontId="2" fillId="2" borderId="5" xfId="1" applyBorder="1"/>
    <xf numFmtId="166" fontId="2" fillId="2" borderId="3" xfId="1" applyNumberFormat="1"/>
    <xf numFmtId="0" fontId="0" fillId="0" borderId="0" xfId="0" applyAlignment="1">
      <alignment wrapText="1"/>
    </xf>
    <xf numFmtId="0" fontId="2" fillId="2" borderId="0" xfId="1" applyBorder="1" applyAlignment="1">
      <alignment horizontal="center" wrapText="1"/>
    </xf>
    <xf numFmtId="0" fontId="2" fillId="2" borderId="3" xfId="1" applyAlignment="1">
      <alignment horizontal="center" wrapText="1"/>
    </xf>
  </cellXfs>
  <cellStyles count="2">
    <cellStyle name="Вывод" xfId="1" builtinId="21"/>
    <cellStyle name="Обычный" xfId="0" builtinId="0"/>
  </cellStyles>
  <dxfs count="31"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 (линейная модель)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Корреляционное поле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forward val="5"/>
            <c:backward val="5"/>
            <c:dispRSqr val="0"/>
            <c:dispEq val="0"/>
          </c:trendline>
          <c:xVal>
            <c:numRef>
              <c:f>linear_xz!$A$2:$A$91</c:f>
              <c:numCache>
                <c:formatCode>General</c:formatCode>
                <c:ptCount val="90"/>
                <c:pt idx="0">
                  <c:v>25</c:v>
                </c:pt>
                <c:pt idx="1">
                  <c:v>47</c:v>
                </c:pt>
                <c:pt idx="2">
                  <c:v>42</c:v>
                </c:pt>
                <c:pt idx="3">
                  <c:v>38</c:v>
                </c:pt>
                <c:pt idx="4">
                  <c:v>30</c:v>
                </c:pt>
                <c:pt idx="5">
                  <c:v>30</c:v>
                </c:pt>
                <c:pt idx="6">
                  <c:v>32</c:v>
                </c:pt>
                <c:pt idx="7">
                  <c:v>38</c:v>
                </c:pt>
                <c:pt idx="8">
                  <c:v>34</c:v>
                </c:pt>
                <c:pt idx="9">
                  <c:v>34</c:v>
                </c:pt>
                <c:pt idx="10">
                  <c:v>41</c:v>
                </c:pt>
                <c:pt idx="11">
                  <c:v>37</c:v>
                </c:pt>
                <c:pt idx="12">
                  <c:v>39</c:v>
                </c:pt>
                <c:pt idx="13">
                  <c:v>36</c:v>
                </c:pt>
                <c:pt idx="14">
                  <c:v>34</c:v>
                </c:pt>
                <c:pt idx="15">
                  <c:v>29</c:v>
                </c:pt>
                <c:pt idx="16">
                  <c:v>31</c:v>
                </c:pt>
                <c:pt idx="17">
                  <c:v>41</c:v>
                </c:pt>
                <c:pt idx="18">
                  <c:v>15</c:v>
                </c:pt>
                <c:pt idx="19">
                  <c:v>27</c:v>
                </c:pt>
                <c:pt idx="20">
                  <c:v>46</c:v>
                </c:pt>
                <c:pt idx="21">
                  <c:v>34</c:v>
                </c:pt>
                <c:pt idx="22">
                  <c:v>39</c:v>
                </c:pt>
                <c:pt idx="23">
                  <c:v>49</c:v>
                </c:pt>
                <c:pt idx="24">
                  <c:v>22</c:v>
                </c:pt>
                <c:pt idx="25">
                  <c:v>48</c:v>
                </c:pt>
                <c:pt idx="26">
                  <c:v>30</c:v>
                </c:pt>
                <c:pt idx="27">
                  <c:v>29</c:v>
                </c:pt>
                <c:pt idx="28">
                  <c:v>29</c:v>
                </c:pt>
                <c:pt idx="29">
                  <c:v>38</c:v>
                </c:pt>
                <c:pt idx="30">
                  <c:v>37</c:v>
                </c:pt>
                <c:pt idx="31">
                  <c:v>55</c:v>
                </c:pt>
                <c:pt idx="32">
                  <c:v>38</c:v>
                </c:pt>
                <c:pt idx="33">
                  <c:v>27</c:v>
                </c:pt>
                <c:pt idx="34">
                  <c:v>44</c:v>
                </c:pt>
                <c:pt idx="35">
                  <c:v>48</c:v>
                </c:pt>
                <c:pt idx="36">
                  <c:v>35</c:v>
                </c:pt>
                <c:pt idx="37">
                  <c:v>35</c:v>
                </c:pt>
                <c:pt idx="38">
                  <c:v>28</c:v>
                </c:pt>
                <c:pt idx="39">
                  <c:v>39</c:v>
                </c:pt>
                <c:pt idx="40">
                  <c:v>38</c:v>
                </c:pt>
                <c:pt idx="41">
                  <c:v>35</c:v>
                </c:pt>
                <c:pt idx="42">
                  <c:v>40</c:v>
                </c:pt>
                <c:pt idx="43">
                  <c:v>44</c:v>
                </c:pt>
                <c:pt idx="44">
                  <c:v>30</c:v>
                </c:pt>
                <c:pt idx="45">
                  <c:v>43</c:v>
                </c:pt>
                <c:pt idx="46">
                  <c:v>43</c:v>
                </c:pt>
                <c:pt idx="47">
                  <c:v>27</c:v>
                </c:pt>
                <c:pt idx="48">
                  <c:v>49</c:v>
                </c:pt>
                <c:pt idx="49">
                  <c:v>35</c:v>
                </c:pt>
                <c:pt idx="50">
                  <c:v>36</c:v>
                </c:pt>
                <c:pt idx="51">
                  <c:v>15</c:v>
                </c:pt>
                <c:pt idx="52">
                  <c:v>33</c:v>
                </c:pt>
                <c:pt idx="53">
                  <c:v>27</c:v>
                </c:pt>
                <c:pt idx="54">
                  <c:v>43</c:v>
                </c:pt>
                <c:pt idx="55">
                  <c:v>47</c:v>
                </c:pt>
                <c:pt idx="56">
                  <c:v>33</c:v>
                </c:pt>
                <c:pt idx="57">
                  <c:v>28</c:v>
                </c:pt>
                <c:pt idx="58">
                  <c:v>41</c:v>
                </c:pt>
                <c:pt idx="59">
                  <c:v>59</c:v>
                </c:pt>
                <c:pt idx="60">
                  <c:v>23</c:v>
                </c:pt>
                <c:pt idx="61">
                  <c:v>39</c:v>
                </c:pt>
                <c:pt idx="62">
                  <c:v>37</c:v>
                </c:pt>
                <c:pt idx="63">
                  <c:v>49</c:v>
                </c:pt>
                <c:pt idx="64">
                  <c:v>26</c:v>
                </c:pt>
                <c:pt idx="65">
                  <c:v>20</c:v>
                </c:pt>
                <c:pt idx="66">
                  <c:v>48</c:v>
                </c:pt>
                <c:pt idx="67">
                  <c:v>32</c:v>
                </c:pt>
                <c:pt idx="68">
                  <c:v>52</c:v>
                </c:pt>
                <c:pt idx="69">
                  <c:v>43</c:v>
                </c:pt>
                <c:pt idx="70">
                  <c:v>49</c:v>
                </c:pt>
                <c:pt idx="71">
                  <c:v>39</c:v>
                </c:pt>
                <c:pt idx="72">
                  <c:v>42</c:v>
                </c:pt>
                <c:pt idx="73">
                  <c:v>37</c:v>
                </c:pt>
                <c:pt idx="74">
                  <c:v>30</c:v>
                </c:pt>
                <c:pt idx="75">
                  <c:v>27</c:v>
                </c:pt>
                <c:pt idx="76">
                  <c:v>18</c:v>
                </c:pt>
                <c:pt idx="77">
                  <c:v>42</c:v>
                </c:pt>
                <c:pt idx="78">
                  <c:v>24</c:v>
                </c:pt>
                <c:pt idx="79">
                  <c:v>31</c:v>
                </c:pt>
                <c:pt idx="80">
                  <c:v>27</c:v>
                </c:pt>
                <c:pt idx="81">
                  <c:v>34</c:v>
                </c:pt>
                <c:pt idx="82">
                  <c:v>24</c:v>
                </c:pt>
                <c:pt idx="83">
                  <c:v>43</c:v>
                </c:pt>
                <c:pt idx="84">
                  <c:v>46</c:v>
                </c:pt>
                <c:pt idx="85">
                  <c:v>37</c:v>
                </c:pt>
                <c:pt idx="86">
                  <c:v>35</c:v>
                </c:pt>
                <c:pt idx="87">
                  <c:v>28</c:v>
                </c:pt>
                <c:pt idx="88">
                  <c:v>22</c:v>
                </c:pt>
                <c:pt idx="89">
                  <c:v>35</c:v>
                </c:pt>
              </c:numCache>
            </c:numRef>
          </c:xVal>
          <c:yVal>
            <c:numRef>
              <c:f>linear_xz!$B$2:$B$91</c:f>
              <c:numCache>
                <c:formatCode>General</c:formatCode>
                <c:ptCount val="90"/>
                <c:pt idx="0">
                  <c:v>-7</c:v>
                </c:pt>
                <c:pt idx="1">
                  <c:v>-6</c:v>
                </c:pt>
                <c:pt idx="2">
                  <c:v>-10</c:v>
                </c:pt>
                <c:pt idx="3">
                  <c:v>-1</c:v>
                </c:pt>
                <c:pt idx="4">
                  <c:v>-2</c:v>
                </c:pt>
                <c:pt idx="5">
                  <c:v>-6</c:v>
                </c:pt>
                <c:pt idx="6">
                  <c:v>-6</c:v>
                </c:pt>
                <c:pt idx="7">
                  <c:v>-5</c:v>
                </c:pt>
                <c:pt idx="8">
                  <c:v>-10</c:v>
                </c:pt>
                <c:pt idx="9">
                  <c:v>-4</c:v>
                </c:pt>
                <c:pt idx="10">
                  <c:v>-9</c:v>
                </c:pt>
                <c:pt idx="11">
                  <c:v>-5</c:v>
                </c:pt>
                <c:pt idx="12">
                  <c:v>-7</c:v>
                </c:pt>
                <c:pt idx="13">
                  <c:v>-3</c:v>
                </c:pt>
                <c:pt idx="14">
                  <c:v>-10</c:v>
                </c:pt>
                <c:pt idx="15">
                  <c:v>-1</c:v>
                </c:pt>
                <c:pt idx="16">
                  <c:v>-3</c:v>
                </c:pt>
                <c:pt idx="17">
                  <c:v>-5</c:v>
                </c:pt>
                <c:pt idx="18">
                  <c:v>-5</c:v>
                </c:pt>
                <c:pt idx="19">
                  <c:v>-1</c:v>
                </c:pt>
                <c:pt idx="20">
                  <c:v>1</c:v>
                </c:pt>
                <c:pt idx="21">
                  <c:v>-10</c:v>
                </c:pt>
                <c:pt idx="22">
                  <c:v>-3</c:v>
                </c:pt>
                <c:pt idx="23">
                  <c:v>-9</c:v>
                </c:pt>
                <c:pt idx="24">
                  <c:v>-6</c:v>
                </c:pt>
                <c:pt idx="25">
                  <c:v>-2</c:v>
                </c:pt>
                <c:pt idx="26">
                  <c:v>-2</c:v>
                </c:pt>
                <c:pt idx="27">
                  <c:v>-8</c:v>
                </c:pt>
                <c:pt idx="28">
                  <c:v>-9</c:v>
                </c:pt>
                <c:pt idx="29">
                  <c:v>-2</c:v>
                </c:pt>
                <c:pt idx="30">
                  <c:v>-8</c:v>
                </c:pt>
                <c:pt idx="31">
                  <c:v>-9</c:v>
                </c:pt>
                <c:pt idx="32">
                  <c:v>-7</c:v>
                </c:pt>
                <c:pt idx="33">
                  <c:v>-2</c:v>
                </c:pt>
                <c:pt idx="34">
                  <c:v>-5</c:v>
                </c:pt>
                <c:pt idx="35">
                  <c:v>-3</c:v>
                </c:pt>
                <c:pt idx="36">
                  <c:v>-6</c:v>
                </c:pt>
                <c:pt idx="37">
                  <c:v>-10</c:v>
                </c:pt>
                <c:pt idx="38">
                  <c:v>-4</c:v>
                </c:pt>
                <c:pt idx="39">
                  <c:v>-7</c:v>
                </c:pt>
                <c:pt idx="40">
                  <c:v>-2</c:v>
                </c:pt>
                <c:pt idx="41">
                  <c:v>-4</c:v>
                </c:pt>
                <c:pt idx="42">
                  <c:v>-10</c:v>
                </c:pt>
                <c:pt idx="43">
                  <c:v>-10</c:v>
                </c:pt>
                <c:pt idx="44">
                  <c:v>-9</c:v>
                </c:pt>
                <c:pt idx="45">
                  <c:v>-10</c:v>
                </c:pt>
                <c:pt idx="46">
                  <c:v>-10</c:v>
                </c:pt>
                <c:pt idx="47">
                  <c:v>-7</c:v>
                </c:pt>
                <c:pt idx="48">
                  <c:v>1</c:v>
                </c:pt>
                <c:pt idx="49">
                  <c:v>2</c:v>
                </c:pt>
                <c:pt idx="50">
                  <c:v>-10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-3</c:v>
                </c:pt>
                <c:pt idx="55">
                  <c:v>-7</c:v>
                </c:pt>
                <c:pt idx="56">
                  <c:v>-6</c:v>
                </c:pt>
                <c:pt idx="57">
                  <c:v>-9</c:v>
                </c:pt>
                <c:pt idx="58">
                  <c:v>-5</c:v>
                </c:pt>
                <c:pt idx="59">
                  <c:v>-1</c:v>
                </c:pt>
                <c:pt idx="60">
                  <c:v>-5</c:v>
                </c:pt>
                <c:pt idx="61">
                  <c:v>-4</c:v>
                </c:pt>
                <c:pt idx="62">
                  <c:v>-3</c:v>
                </c:pt>
                <c:pt idx="63">
                  <c:v>-2</c:v>
                </c:pt>
                <c:pt idx="64">
                  <c:v>-7</c:v>
                </c:pt>
                <c:pt idx="65">
                  <c:v>-3</c:v>
                </c:pt>
                <c:pt idx="66">
                  <c:v>-9</c:v>
                </c:pt>
                <c:pt idx="67">
                  <c:v>-10</c:v>
                </c:pt>
                <c:pt idx="68">
                  <c:v>-8</c:v>
                </c:pt>
                <c:pt idx="69">
                  <c:v>-1</c:v>
                </c:pt>
                <c:pt idx="70">
                  <c:v>-2</c:v>
                </c:pt>
                <c:pt idx="71">
                  <c:v>-7</c:v>
                </c:pt>
                <c:pt idx="72">
                  <c:v>-3</c:v>
                </c:pt>
                <c:pt idx="73">
                  <c:v>-5</c:v>
                </c:pt>
                <c:pt idx="74">
                  <c:v>-4</c:v>
                </c:pt>
                <c:pt idx="75">
                  <c:v>-4</c:v>
                </c:pt>
                <c:pt idx="76">
                  <c:v>-5</c:v>
                </c:pt>
                <c:pt idx="77">
                  <c:v>-7</c:v>
                </c:pt>
                <c:pt idx="78">
                  <c:v>-8</c:v>
                </c:pt>
                <c:pt idx="79">
                  <c:v>-10</c:v>
                </c:pt>
                <c:pt idx="80">
                  <c:v>-5</c:v>
                </c:pt>
                <c:pt idx="81">
                  <c:v>-6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-8</c:v>
                </c:pt>
                <c:pt idx="86">
                  <c:v>-6</c:v>
                </c:pt>
                <c:pt idx="87">
                  <c:v>-7</c:v>
                </c:pt>
                <c:pt idx="88">
                  <c:v>-1</c:v>
                </c:pt>
                <c:pt idx="8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1-4D8A-9C40-1EB987392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421967"/>
        <c:axId val="324421487"/>
      </c:scatterChart>
      <c:valAx>
        <c:axId val="32442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</a:t>
                </a:r>
                <a:r>
                  <a:rPr lang="ru-RU" baseline="0"/>
                  <a:t>значения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4421487"/>
        <c:crosses val="autoZero"/>
        <c:crossBetween val="midCat"/>
      </c:valAx>
      <c:valAx>
        <c:axId val="3244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442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linear_xz!$A$2:$A$91</c:f>
              <c:numCache>
                <c:formatCode>General</c:formatCode>
                <c:ptCount val="90"/>
                <c:pt idx="0">
                  <c:v>25</c:v>
                </c:pt>
                <c:pt idx="1">
                  <c:v>47</c:v>
                </c:pt>
                <c:pt idx="2">
                  <c:v>42</c:v>
                </c:pt>
                <c:pt idx="3">
                  <c:v>38</c:v>
                </c:pt>
                <c:pt idx="4">
                  <c:v>30</c:v>
                </c:pt>
                <c:pt idx="5">
                  <c:v>30</c:v>
                </c:pt>
                <c:pt idx="6">
                  <c:v>32</c:v>
                </c:pt>
                <c:pt idx="7">
                  <c:v>38</c:v>
                </c:pt>
                <c:pt idx="8">
                  <c:v>34</c:v>
                </c:pt>
                <c:pt idx="9">
                  <c:v>34</c:v>
                </c:pt>
                <c:pt idx="10">
                  <c:v>41</c:v>
                </c:pt>
                <c:pt idx="11">
                  <c:v>37</c:v>
                </c:pt>
                <c:pt idx="12">
                  <c:v>39</c:v>
                </c:pt>
                <c:pt idx="13">
                  <c:v>36</c:v>
                </c:pt>
                <c:pt idx="14">
                  <c:v>34</c:v>
                </c:pt>
                <c:pt idx="15">
                  <c:v>29</c:v>
                </c:pt>
                <c:pt idx="16">
                  <c:v>31</c:v>
                </c:pt>
                <c:pt idx="17">
                  <c:v>41</c:v>
                </c:pt>
                <c:pt idx="18">
                  <c:v>15</c:v>
                </c:pt>
                <c:pt idx="19">
                  <c:v>27</c:v>
                </c:pt>
                <c:pt idx="20">
                  <c:v>46</c:v>
                </c:pt>
                <c:pt idx="21">
                  <c:v>34</c:v>
                </c:pt>
                <c:pt idx="22">
                  <c:v>39</c:v>
                </c:pt>
                <c:pt idx="23">
                  <c:v>49</c:v>
                </c:pt>
                <c:pt idx="24">
                  <c:v>22</c:v>
                </c:pt>
                <c:pt idx="25">
                  <c:v>48</c:v>
                </c:pt>
                <c:pt idx="26">
                  <c:v>30</c:v>
                </c:pt>
                <c:pt idx="27">
                  <c:v>29</c:v>
                </c:pt>
                <c:pt idx="28">
                  <c:v>29</c:v>
                </c:pt>
                <c:pt idx="29">
                  <c:v>38</c:v>
                </c:pt>
                <c:pt idx="30">
                  <c:v>37</c:v>
                </c:pt>
                <c:pt idx="31">
                  <c:v>55</c:v>
                </c:pt>
                <c:pt idx="32">
                  <c:v>38</c:v>
                </c:pt>
                <c:pt idx="33">
                  <c:v>27</c:v>
                </c:pt>
                <c:pt idx="34">
                  <c:v>44</c:v>
                </c:pt>
                <c:pt idx="35">
                  <c:v>48</c:v>
                </c:pt>
                <c:pt idx="36">
                  <c:v>35</c:v>
                </c:pt>
                <c:pt idx="37">
                  <c:v>35</c:v>
                </c:pt>
                <c:pt idx="38">
                  <c:v>28</c:v>
                </c:pt>
                <c:pt idx="39">
                  <c:v>39</c:v>
                </c:pt>
                <c:pt idx="40">
                  <c:v>38</c:v>
                </c:pt>
                <c:pt idx="41">
                  <c:v>35</c:v>
                </c:pt>
                <c:pt idx="42">
                  <c:v>40</c:v>
                </c:pt>
                <c:pt idx="43">
                  <c:v>44</c:v>
                </c:pt>
                <c:pt idx="44">
                  <c:v>30</c:v>
                </c:pt>
                <c:pt idx="45">
                  <c:v>43</c:v>
                </c:pt>
                <c:pt idx="46">
                  <c:v>43</c:v>
                </c:pt>
                <c:pt idx="47">
                  <c:v>27</c:v>
                </c:pt>
                <c:pt idx="48">
                  <c:v>49</c:v>
                </c:pt>
                <c:pt idx="49">
                  <c:v>35</c:v>
                </c:pt>
                <c:pt idx="50">
                  <c:v>36</c:v>
                </c:pt>
                <c:pt idx="51">
                  <c:v>15</c:v>
                </c:pt>
                <c:pt idx="52">
                  <c:v>33</c:v>
                </c:pt>
                <c:pt idx="53">
                  <c:v>27</c:v>
                </c:pt>
                <c:pt idx="54">
                  <c:v>43</c:v>
                </c:pt>
                <c:pt idx="55">
                  <c:v>47</c:v>
                </c:pt>
                <c:pt idx="56">
                  <c:v>33</c:v>
                </c:pt>
                <c:pt idx="57">
                  <c:v>28</c:v>
                </c:pt>
                <c:pt idx="58">
                  <c:v>41</c:v>
                </c:pt>
                <c:pt idx="59">
                  <c:v>59</c:v>
                </c:pt>
                <c:pt idx="60">
                  <c:v>23</c:v>
                </c:pt>
                <c:pt idx="61">
                  <c:v>39</c:v>
                </c:pt>
                <c:pt idx="62">
                  <c:v>37</c:v>
                </c:pt>
                <c:pt idx="63">
                  <c:v>49</c:v>
                </c:pt>
                <c:pt idx="64">
                  <c:v>26</c:v>
                </c:pt>
                <c:pt idx="65">
                  <c:v>20</c:v>
                </c:pt>
                <c:pt idx="66">
                  <c:v>48</c:v>
                </c:pt>
                <c:pt idx="67">
                  <c:v>32</c:v>
                </c:pt>
                <c:pt idx="68">
                  <c:v>52</c:v>
                </c:pt>
                <c:pt idx="69">
                  <c:v>43</c:v>
                </c:pt>
                <c:pt idx="70">
                  <c:v>49</c:v>
                </c:pt>
                <c:pt idx="71">
                  <c:v>39</c:v>
                </c:pt>
                <c:pt idx="72">
                  <c:v>42</c:v>
                </c:pt>
                <c:pt idx="73">
                  <c:v>37</c:v>
                </c:pt>
                <c:pt idx="74">
                  <c:v>30</c:v>
                </c:pt>
                <c:pt idx="75">
                  <c:v>27</c:v>
                </c:pt>
                <c:pt idx="76">
                  <c:v>18</c:v>
                </c:pt>
                <c:pt idx="77">
                  <c:v>42</c:v>
                </c:pt>
                <c:pt idx="78">
                  <c:v>24</c:v>
                </c:pt>
                <c:pt idx="79">
                  <c:v>31</c:v>
                </c:pt>
                <c:pt idx="80">
                  <c:v>27</c:v>
                </c:pt>
                <c:pt idx="81">
                  <c:v>34</c:v>
                </c:pt>
                <c:pt idx="82">
                  <c:v>24</c:v>
                </c:pt>
                <c:pt idx="83">
                  <c:v>43</c:v>
                </c:pt>
                <c:pt idx="84">
                  <c:v>46</c:v>
                </c:pt>
                <c:pt idx="85">
                  <c:v>37</c:v>
                </c:pt>
                <c:pt idx="86">
                  <c:v>35</c:v>
                </c:pt>
                <c:pt idx="87">
                  <c:v>28</c:v>
                </c:pt>
                <c:pt idx="88">
                  <c:v>22</c:v>
                </c:pt>
                <c:pt idx="89">
                  <c:v>35</c:v>
                </c:pt>
              </c:numCache>
            </c:numRef>
          </c:xVal>
          <c:yVal>
            <c:numRef>
              <c:f>help_linear_xz!$C$25:$C$114</c:f>
              <c:numCache>
                <c:formatCode>0.000</c:formatCode>
                <c:ptCount val="90"/>
                <c:pt idx="0">
                  <c:v>-1.4793499241419301</c:v>
                </c:pt>
                <c:pt idx="1">
                  <c:v>-0.49892210051392816</c:v>
                </c:pt>
                <c:pt idx="2">
                  <c:v>-4.4944738786112017</c:v>
                </c:pt>
                <c:pt idx="3">
                  <c:v>4.5090846989109803</c:v>
                </c:pt>
                <c:pt idx="4">
                  <c:v>3.5162018539553435</c:v>
                </c:pt>
                <c:pt idx="5">
                  <c:v>-0.48379814604465654</c:v>
                </c:pt>
                <c:pt idx="6">
                  <c:v>-0.485577434805748</c:v>
                </c:pt>
                <c:pt idx="7">
                  <c:v>0.50908469891098029</c:v>
                </c:pt>
                <c:pt idx="8">
                  <c:v>-4.4873567235668386</c:v>
                </c:pt>
                <c:pt idx="9">
                  <c:v>1.5126432764331614</c:v>
                </c:pt>
                <c:pt idx="10">
                  <c:v>-3.4935842342306564</c:v>
                </c:pt>
                <c:pt idx="11">
                  <c:v>0.50997434329152558</c:v>
                </c:pt>
                <c:pt idx="12">
                  <c:v>-1.4918049454695659</c:v>
                </c:pt>
                <c:pt idx="13">
                  <c:v>2.5108639876720709</c:v>
                </c:pt>
                <c:pt idx="14">
                  <c:v>-4.4873567235668386</c:v>
                </c:pt>
                <c:pt idx="15">
                  <c:v>4.5170914983358887</c:v>
                </c:pt>
                <c:pt idx="16">
                  <c:v>2.5153122095747973</c:v>
                </c:pt>
                <c:pt idx="17">
                  <c:v>0.50641576576934355</c:v>
                </c:pt>
                <c:pt idx="18">
                  <c:v>0.52954651966352362</c:v>
                </c:pt>
                <c:pt idx="19">
                  <c:v>4.5188707870969793</c:v>
                </c:pt>
                <c:pt idx="20">
                  <c:v>6.5019675438666171</c:v>
                </c:pt>
                <c:pt idx="21">
                  <c:v>-4.4873567235668386</c:v>
                </c:pt>
                <c:pt idx="22">
                  <c:v>2.5081950545304341</c:v>
                </c:pt>
                <c:pt idx="23">
                  <c:v>-3.5007013892750196</c:v>
                </c:pt>
                <c:pt idx="24">
                  <c:v>-0.47668099100029426</c:v>
                </c:pt>
                <c:pt idx="25">
                  <c:v>3.5001882551055257</c:v>
                </c:pt>
                <c:pt idx="26">
                  <c:v>3.5162018539553435</c:v>
                </c:pt>
                <c:pt idx="27">
                  <c:v>-2.4829085016641113</c:v>
                </c:pt>
                <c:pt idx="28">
                  <c:v>-3.4829085016641113</c:v>
                </c:pt>
                <c:pt idx="29">
                  <c:v>3.5090846989109803</c:v>
                </c:pt>
                <c:pt idx="30">
                  <c:v>-2.4900256567084744</c:v>
                </c:pt>
                <c:pt idx="31">
                  <c:v>-3.5060392555582913</c:v>
                </c:pt>
                <c:pt idx="32">
                  <c:v>-1.4909153010890197</c:v>
                </c:pt>
                <c:pt idx="33">
                  <c:v>3.5188707870969793</c:v>
                </c:pt>
                <c:pt idx="34">
                  <c:v>0.5037468326277077</c:v>
                </c:pt>
                <c:pt idx="35">
                  <c:v>2.5001882551055257</c:v>
                </c:pt>
                <c:pt idx="36">
                  <c:v>-0.48824636794738385</c:v>
                </c:pt>
                <c:pt idx="37">
                  <c:v>-4.4882463679473839</c:v>
                </c:pt>
                <c:pt idx="38">
                  <c:v>1.517981142716434</c:v>
                </c:pt>
                <c:pt idx="39">
                  <c:v>-1.4918049454695659</c:v>
                </c:pt>
                <c:pt idx="40">
                  <c:v>3.5090846989109803</c:v>
                </c:pt>
                <c:pt idx="41">
                  <c:v>1.5117536320526161</c:v>
                </c:pt>
                <c:pt idx="42">
                  <c:v>-4.4926945898501112</c:v>
                </c:pt>
                <c:pt idx="43">
                  <c:v>-4.4962531673722923</c:v>
                </c:pt>
                <c:pt idx="44">
                  <c:v>-3.4837981460446565</c:v>
                </c:pt>
                <c:pt idx="45">
                  <c:v>-4.495363522991747</c:v>
                </c:pt>
                <c:pt idx="46">
                  <c:v>-4.495363522991747</c:v>
                </c:pt>
                <c:pt idx="47">
                  <c:v>-1.4811292129030207</c:v>
                </c:pt>
                <c:pt idx="48">
                  <c:v>6.4992986107249804</c:v>
                </c:pt>
                <c:pt idx="49">
                  <c:v>7.5117536320526161</c:v>
                </c:pt>
                <c:pt idx="50">
                  <c:v>-4.4891360123279291</c:v>
                </c:pt>
                <c:pt idx="51">
                  <c:v>3.5295465196635236</c:v>
                </c:pt>
                <c:pt idx="52">
                  <c:v>-0.48646707918629328</c:v>
                </c:pt>
                <c:pt idx="53">
                  <c:v>-1.4811292129030207</c:v>
                </c:pt>
                <c:pt idx="54">
                  <c:v>2.504636477008253</c:v>
                </c:pt>
                <c:pt idx="55">
                  <c:v>-1.4989221005139282</c:v>
                </c:pt>
                <c:pt idx="56">
                  <c:v>-0.48646707918629328</c:v>
                </c:pt>
                <c:pt idx="57">
                  <c:v>-3.482018857283566</c:v>
                </c:pt>
                <c:pt idx="58">
                  <c:v>0.50641576576934355</c:v>
                </c:pt>
                <c:pt idx="59">
                  <c:v>4.4904021669195266</c:v>
                </c:pt>
                <c:pt idx="60">
                  <c:v>0.52242936461916045</c:v>
                </c:pt>
                <c:pt idx="61">
                  <c:v>1.5081950545304341</c:v>
                </c:pt>
                <c:pt idx="62">
                  <c:v>2.5099743432915256</c:v>
                </c:pt>
                <c:pt idx="63">
                  <c:v>3.4992986107249804</c:v>
                </c:pt>
                <c:pt idx="64">
                  <c:v>-1.4802395685224754</c:v>
                </c:pt>
                <c:pt idx="65">
                  <c:v>2.5250982977607972</c:v>
                </c:pt>
                <c:pt idx="66">
                  <c:v>-3.4998117448944743</c:v>
                </c:pt>
                <c:pt idx="67">
                  <c:v>-4.485577434805748</c:v>
                </c:pt>
                <c:pt idx="68">
                  <c:v>-2.5033703224166555</c:v>
                </c:pt>
                <c:pt idx="69">
                  <c:v>4.504636477008253</c:v>
                </c:pt>
                <c:pt idx="70">
                  <c:v>3.4992986107249804</c:v>
                </c:pt>
                <c:pt idx="71">
                  <c:v>-1.4918049454695659</c:v>
                </c:pt>
                <c:pt idx="72">
                  <c:v>2.5055261213887983</c:v>
                </c:pt>
                <c:pt idx="73">
                  <c:v>0.50997434329152558</c:v>
                </c:pt>
                <c:pt idx="74">
                  <c:v>1.5162018539553435</c:v>
                </c:pt>
                <c:pt idx="75">
                  <c:v>1.5188707870969793</c:v>
                </c:pt>
                <c:pt idx="76">
                  <c:v>0.52687758652188776</c:v>
                </c:pt>
                <c:pt idx="77">
                  <c:v>-1.4944738786112017</c:v>
                </c:pt>
                <c:pt idx="78">
                  <c:v>-2.4784602797613848</c:v>
                </c:pt>
                <c:pt idx="79">
                  <c:v>-4.4846877904252027</c:v>
                </c:pt>
                <c:pt idx="80">
                  <c:v>0.51887078709697931</c:v>
                </c:pt>
                <c:pt idx="81">
                  <c:v>-0.48735672356683857</c:v>
                </c:pt>
                <c:pt idx="82">
                  <c:v>0.52153972023861517</c:v>
                </c:pt>
                <c:pt idx="83">
                  <c:v>0.50463647700825298</c:v>
                </c:pt>
                <c:pt idx="84">
                  <c:v>1.5019675438666171</c:v>
                </c:pt>
                <c:pt idx="85">
                  <c:v>-2.4900256567084744</c:v>
                </c:pt>
                <c:pt idx="86">
                  <c:v>-0.48824636794738385</c:v>
                </c:pt>
                <c:pt idx="87">
                  <c:v>-1.482018857283566</c:v>
                </c:pt>
                <c:pt idx="88">
                  <c:v>4.5233190089997057</c:v>
                </c:pt>
                <c:pt idx="89">
                  <c:v>-4.4882463679473839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51-46DF-887C-6B84B929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0592"/>
        <c:axId val="196743952"/>
      </c:scatterChart>
      <c:valAx>
        <c:axId val="1967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low"/>
        <c:spPr>
          <a:ln/>
        </c:spPr>
        <c:crossAx val="196743952"/>
        <c:crosses val="autoZero"/>
        <c:crossBetween val="midCat"/>
      </c:valAx>
      <c:valAx>
        <c:axId val="196743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967405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 поле (гиперболическая модель)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forward val="1.0000000000000002E-2"/>
            <c:backward val="1.0000000000000002E-2"/>
            <c:dispRSqr val="0"/>
            <c:dispEq val="0"/>
          </c:trendline>
          <c:xVal>
            <c:numRef>
              <c:f>hyperbolic_xz!$B$2:$B$91</c:f>
              <c:numCache>
                <c:formatCode>0.000</c:formatCode>
                <c:ptCount val="90"/>
                <c:pt idx="0">
                  <c:v>0.04</c:v>
                </c:pt>
                <c:pt idx="1">
                  <c:v>2.1276595744680851E-2</c:v>
                </c:pt>
                <c:pt idx="2">
                  <c:v>2.3809523809523808E-2</c:v>
                </c:pt>
                <c:pt idx="3">
                  <c:v>2.6315789473684209E-2</c:v>
                </c:pt>
                <c:pt idx="4">
                  <c:v>3.3333333333333333E-2</c:v>
                </c:pt>
                <c:pt idx="5">
                  <c:v>3.3333333333333333E-2</c:v>
                </c:pt>
                <c:pt idx="6">
                  <c:v>3.125E-2</c:v>
                </c:pt>
                <c:pt idx="7">
                  <c:v>2.6315789473684209E-2</c:v>
                </c:pt>
                <c:pt idx="8">
                  <c:v>2.9411764705882353E-2</c:v>
                </c:pt>
                <c:pt idx="9">
                  <c:v>2.9411764705882353E-2</c:v>
                </c:pt>
                <c:pt idx="10">
                  <c:v>2.4390243902439025E-2</c:v>
                </c:pt>
                <c:pt idx="11">
                  <c:v>2.7027027027027029E-2</c:v>
                </c:pt>
                <c:pt idx="12">
                  <c:v>2.564102564102564E-2</c:v>
                </c:pt>
                <c:pt idx="13">
                  <c:v>2.7777777777777776E-2</c:v>
                </c:pt>
                <c:pt idx="14">
                  <c:v>2.9411764705882353E-2</c:v>
                </c:pt>
                <c:pt idx="15">
                  <c:v>3.4482758620689655E-2</c:v>
                </c:pt>
                <c:pt idx="16">
                  <c:v>3.2258064516129031E-2</c:v>
                </c:pt>
                <c:pt idx="17">
                  <c:v>2.4390243902439025E-2</c:v>
                </c:pt>
                <c:pt idx="18">
                  <c:v>6.6666666666666666E-2</c:v>
                </c:pt>
                <c:pt idx="19">
                  <c:v>3.7037037037037035E-2</c:v>
                </c:pt>
                <c:pt idx="20">
                  <c:v>2.1739130434782608E-2</c:v>
                </c:pt>
                <c:pt idx="21">
                  <c:v>2.9411764705882353E-2</c:v>
                </c:pt>
                <c:pt idx="22">
                  <c:v>2.564102564102564E-2</c:v>
                </c:pt>
                <c:pt idx="23">
                  <c:v>2.0408163265306121E-2</c:v>
                </c:pt>
                <c:pt idx="24">
                  <c:v>4.5454545454545456E-2</c:v>
                </c:pt>
                <c:pt idx="25">
                  <c:v>2.0833333333333332E-2</c:v>
                </c:pt>
                <c:pt idx="26">
                  <c:v>3.3333333333333333E-2</c:v>
                </c:pt>
                <c:pt idx="27">
                  <c:v>3.4482758620689655E-2</c:v>
                </c:pt>
                <c:pt idx="28">
                  <c:v>3.4482758620689655E-2</c:v>
                </c:pt>
                <c:pt idx="29">
                  <c:v>2.6315789473684209E-2</c:v>
                </c:pt>
                <c:pt idx="30">
                  <c:v>2.7027027027027029E-2</c:v>
                </c:pt>
                <c:pt idx="31">
                  <c:v>1.8181818181818181E-2</c:v>
                </c:pt>
                <c:pt idx="32">
                  <c:v>2.6315789473684209E-2</c:v>
                </c:pt>
                <c:pt idx="33">
                  <c:v>3.7037037037037035E-2</c:v>
                </c:pt>
                <c:pt idx="34">
                  <c:v>2.2727272727272728E-2</c:v>
                </c:pt>
                <c:pt idx="35">
                  <c:v>2.0833333333333332E-2</c:v>
                </c:pt>
                <c:pt idx="36">
                  <c:v>2.8571428571428571E-2</c:v>
                </c:pt>
                <c:pt idx="37">
                  <c:v>2.8571428571428571E-2</c:v>
                </c:pt>
                <c:pt idx="38">
                  <c:v>3.5714285714285712E-2</c:v>
                </c:pt>
                <c:pt idx="39">
                  <c:v>2.564102564102564E-2</c:v>
                </c:pt>
                <c:pt idx="40">
                  <c:v>2.6315789473684209E-2</c:v>
                </c:pt>
                <c:pt idx="41">
                  <c:v>2.8571428571428571E-2</c:v>
                </c:pt>
                <c:pt idx="42">
                  <c:v>2.5000000000000001E-2</c:v>
                </c:pt>
                <c:pt idx="43">
                  <c:v>2.2727272727272728E-2</c:v>
                </c:pt>
                <c:pt idx="44">
                  <c:v>3.3333333333333333E-2</c:v>
                </c:pt>
                <c:pt idx="45">
                  <c:v>2.3255813953488372E-2</c:v>
                </c:pt>
                <c:pt idx="46">
                  <c:v>2.3255813953488372E-2</c:v>
                </c:pt>
                <c:pt idx="47">
                  <c:v>3.7037037037037035E-2</c:v>
                </c:pt>
                <c:pt idx="48">
                  <c:v>2.0408163265306121E-2</c:v>
                </c:pt>
                <c:pt idx="49">
                  <c:v>2.8571428571428571E-2</c:v>
                </c:pt>
                <c:pt idx="50">
                  <c:v>2.7777777777777776E-2</c:v>
                </c:pt>
                <c:pt idx="51">
                  <c:v>6.6666666666666666E-2</c:v>
                </c:pt>
                <c:pt idx="52">
                  <c:v>3.0303030303030304E-2</c:v>
                </c:pt>
                <c:pt idx="53">
                  <c:v>3.7037037037037035E-2</c:v>
                </c:pt>
                <c:pt idx="54">
                  <c:v>2.3255813953488372E-2</c:v>
                </c:pt>
                <c:pt idx="55">
                  <c:v>2.1276595744680851E-2</c:v>
                </c:pt>
                <c:pt idx="56">
                  <c:v>3.0303030303030304E-2</c:v>
                </c:pt>
                <c:pt idx="57">
                  <c:v>3.5714285714285712E-2</c:v>
                </c:pt>
                <c:pt idx="58">
                  <c:v>2.4390243902439025E-2</c:v>
                </c:pt>
                <c:pt idx="59">
                  <c:v>1.6949152542372881E-2</c:v>
                </c:pt>
                <c:pt idx="60">
                  <c:v>4.3478260869565216E-2</c:v>
                </c:pt>
                <c:pt idx="61">
                  <c:v>2.564102564102564E-2</c:v>
                </c:pt>
                <c:pt idx="62">
                  <c:v>2.7027027027027029E-2</c:v>
                </c:pt>
                <c:pt idx="63">
                  <c:v>2.0408163265306121E-2</c:v>
                </c:pt>
                <c:pt idx="64">
                  <c:v>3.8461538461538464E-2</c:v>
                </c:pt>
                <c:pt idx="65">
                  <c:v>0.05</c:v>
                </c:pt>
                <c:pt idx="66">
                  <c:v>2.0833333333333332E-2</c:v>
                </c:pt>
                <c:pt idx="67">
                  <c:v>3.125E-2</c:v>
                </c:pt>
                <c:pt idx="68">
                  <c:v>1.9230769230769232E-2</c:v>
                </c:pt>
                <c:pt idx="69">
                  <c:v>2.3255813953488372E-2</c:v>
                </c:pt>
                <c:pt idx="70">
                  <c:v>2.0408163265306121E-2</c:v>
                </c:pt>
                <c:pt idx="71">
                  <c:v>2.564102564102564E-2</c:v>
                </c:pt>
                <c:pt idx="72">
                  <c:v>2.3809523809523808E-2</c:v>
                </c:pt>
                <c:pt idx="73">
                  <c:v>2.7027027027027029E-2</c:v>
                </c:pt>
                <c:pt idx="74">
                  <c:v>3.3333333333333333E-2</c:v>
                </c:pt>
                <c:pt idx="75">
                  <c:v>3.7037037037037035E-2</c:v>
                </c:pt>
                <c:pt idx="76">
                  <c:v>5.5555555555555552E-2</c:v>
                </c:pt>
                <c:pt idx="77">
                  <c:v>2.3809523809523808E-2</c:v>
                </c:pt>
                <c:pt idx="78">
                  <c:v>4.1666666666666664E-2</c:v>
                </c:pt>
                <c:pt idx="79">
                  <c:v>3.2258064516129031E-2</c:v>
                </c:pt>
                <c:pt idx="80">
                  <c:v>3.7037037037037035E-2</c:v>
                </c:pt>
                <c:pt idx="81">
                  <c:v>2.9411764705882353E-2</c:v>
                </c:pt>
                <c:pt idx="82">
                  <c:v>4.1666666666666664E-2</c:v>
                </c:pt>
                <c:pt idx="83">
                  <c:v>2.3255813953488372E-2</c:v>
                </c:pt>
                <c:pt idx="84">
                  <c:v>2.1739130434782608E-2</c:v>
                </c:pt>
                <c:pt idx="85">
                  <c:v>2.7027027027027029E-2</c:v>
                </c:pt>
                <c:pt idx="86">
                  <c:v>2.8571428571428571E-2</c:v>
                </c:pt>
                <c:pt idx="87">
                  <c:v>3.5714285714285712E-2</c:v>
                </c:pt>
                <c:pt idx="88">
                  <c:v>4.5454545454545456E-2</c:v>
                </c:pt>
                <c:pt idx="89">
                  <c:v>2.8571428571428571E-2</c:v>
                </c:pt>
              </c:numCache>
            </c:numRef>
          </c:xVal>
          <c:yVal>
            <c:numRef>
              <c:f>hyperbolic_xz!$C$2:$C$91</c:f>
              <c:numCache>
                <c:formatCode>General</c:formatCode>
                <c:ptCount val="90"/>
                <c:pt idx="0">
                  <c:v>-7</c:v>
                </c:pt>
                <c:pt idx="1">
                  <c:v>-6</c:v>
                </c:pt>
                <c:pt idx="2">
                  <c:v>-10</c:v>
                </c:pt>
                <c:pt idx="3">
                  <c:v>-1</c:v>
                </c:pt>
                <c:pt idx="4">
                  <c:v>-2</c:v>
                </c:pt>
                <c:pt idx="5">
                  <c:v>-6</c:v>
                </c:pt>
                <c:pt idx="6">
                  <c:v>-6</c:v>
                </c:pt>
                <c:pt idx="7">
                  <c:v>-5</c:v>
                </c:pt>
                <c:pt idx="8">
                  <c:v>-10</c:v>
                </c:pt>
                <c:pt idx="9">
                  <c:v>-4</c:v>
                </c:pt>
                <c:pt idx="10">
                  <c:v>-9</c:v>
                </c:pt>
                <c:pt idx="11">
                  <c:v>-5</c:v>
                </c:pt>
                <c:pt idx="12">
                  <c:v>-7</c:v>
                </c:pt>
                <c:pt idx="13">
                  <c:v>-3</c:v>
                </c:pt>
                <c:pt idx="14">
                  <c:v>-10</c:v>
                </c:pt>
                <c:pt idx="15">
                  <c:v>-1</c:v>
                </c:pt>
                <c:pt idx="16">
                  <c:v>-3</c:v>
                </c:pt>
                <c:pt idx="17">
                  <c:v>-5</c:v>
                </c:pt>
                <c:pt idx="18">
                  <c:v>-5</c:v>
                </c:pt>
                <c:pt idx="19">
                  <c:v>-1</c:v>
                </c:pt>
                <c:pt idx="20">
                  <c:v>1</c:v>
                </c:pt>
                <c:pt idx="21">
                  <c:v>-10</c:v>
                </c:pt>
                <c:pt idx="22">
                  <c:v>-3</c:v>
                </c:pt>
                <c:pt idx="23">
                  <c:v>-9</c:v>
                </c:pt>
                <c:pt idx="24">
                  <c:v>-6</c:v>
                </c:pt>
                <c:pt idx="25">
                  <c:v>-2</c:v>
                </c:pt>
                <c:pt idx="26">
                  <c:v>-2</c:v>
                </c:pt>
                <c:pt idx="27">
                  <c:v>-8</c:v>
                </c:pt>
                <c:pt idx="28">
                  <c:v>-9</c:v>
                </c:pt>
                <c:pt idx="29">
                  <c:v>-2</c:v>
                </c:pt>
                <c:pt idx="30">
                  <c:v>-8</c:v>
                </c:pt>
                <c:pt idx="31">
                  <c:v>-9</c:v>
                </c:pt>
                <c:pt idx="32">
                  <c:v>-7</c:v>
                </c:pt>
                <c:pt idx="33">
                  <c:v>-2</c:v>
                </c:pt>
                <c:pt idx="34">
                  <c:v>-5</c:v>
                </c:pt>
                <c:pt idx="35">
                  <c:v>-3</c:v>
                </c:pt>
                <c:pt idx="36">
                  <c:v>-6</c:v>
                </c:pt>
                <c:pt idx="37">
                  <c:v>-10</c:v>
                </c:pt>
                <c:pt idx="38">
                  <c:v>-4</c:v>
                </c:pt>
                <c:pt idx="39">
                  <c:v>-7</c:v>
                </c:pt>
                <c:pt idx="40">
                  <c:v>-2</c:v>
                </c:pt>
                <c:pt idx="41">
                  <c:v>-4</c:v>
                </c:pt>
                <c:pt idx="42">
                  <c:v>-10</c:v>
                </c:pt>
                <c:pt idx="43">
                  <c:v>-10</c:v>
                </c:pt>
                <c:pt idx="44">
                  <c:v>-9</c:v>
                </c:pt>
                <c:pt idx="45">
                  <c:v>-10</c:v>
                </c:pt>
                <c:pt idx="46">
                  <c:v>-10</c:v>
                </c:pt>
                <c:pt idx="47">
                  <c:v>-7</c:v>
                </c:pt>
                <c:pt idx="48">
                  <c:v>1</c:v>
                </c:pt>
                <c:pt idx="49">
                  <c:v>2</c:v>
                </c:pt>
                <c:pt idx="50">
                  <c:v>-10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-3</c:v>
                </c:pt>
                <c:pt idx="55">
                  <c:v>-7</c:v>
                </c:pt>
                <c:pt idx="56">
                  <c:v>-6</c:v>
                </c:pt>
                <c:pt idx="57">
                  <c:v>-9</c:v>
                </c:pt>
                <c:pt idx="58">
                  <c:v>-5</c:v>
                </c:pt>
                <c:pt idx="59">
                  <c:v>-1</c:v>
                </c:pt>
                <c:pt idx="60">
                  <c:v>-5</c:v>
                </c:pt>
                <c:pt idx="61">
                  <c:v>-4</c:v>
                </c:pt>
                <c:pt idx="62">
                  <c:v>-3</c:v>
                </c:pt>
                <c:pt idx="63">
                  <c:v>-2</c:v>
                </c:pt>
                <c:pt idx="64">
                  <c:v>-7</c:v>
                </c:pt>
                <c:pt idx="65">
                  <c:v>-3</c:v>
                </c:pt>
                <c:pt idx="66">
                  <c:v>-9</c:v>
                </c:pt>
                <c:pt idx="67">
                  <c:v>-10</c:v>
                </c:pt>
                <c:pt idx="68">
                  <c:v>-8</c:v>
                </c:pt>
                <c:pt idx="69">
                  <c:v>-1</c:v>
                </c:pt>
                <c:pt idx="70">
                  <c:v>-2</c:v>
                </c:pt>
                <c:pt idx="71">
                  <c:v>-7</c:v>
                </c:pt>
                <c:pt idx="72">
                  <c:v>-3</c:v>
                </c:pt>
                <c:pt idx="73">
                  <c:v>-5</c:v>
                </c:pt>
                <c:pt idx="74">
                  <c:v>-4</c:v>
                </c:pt>
                <c:pt idx="75">
                  <c:v>-4</c:v>
                </c:pt>
                <c:pt idx="76">
                  <c:v>-5</c:v>
                </c:pt>
                <c:pt idx="77">
                  <c:v>-7</c:v>
                </c:pt>
                <c:pt idx="78">
                  <c:v>-8</c:v>
                </c:pt>
                <c:pt idx="79">
                  <c:v>-10</c:v>
                </c:pt>
                <c:pt idx="80">
                  <c:v>-5</c:v>
                </c:pt>
                <c:pt idx="81">
                  <c:v>-6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-8</c:v>
                </c:pt>
                <c:pt idx="86">
                  <c:v>-6</c:v>
                </c:pt>
                <c:pt idx="87">
                  <c:v>-7</c:v>
                </c:pt>
                <c:pt idx="88">
                  <c:v>-1</c:v>
                </c:pt>
                <c:pt idx="89">
                  <c:v>-10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B52-4619-8CF5-E57D23AD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462512"/>
        <c:axId val="1826466352"/>
      </c:scatterChart>
      <c:valAx>
        <c:axId val="18264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1/X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466352"/>
        <c:crosses val="autoZero"/>
        <c:crossBetween val="midCat"/>
      </c:valAx>
      <c:valAx>
        <c:axId val="18264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46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1/X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hyperbolic_xz!$B$2:$B$91</c:f>
              <c:numCache>
                <c:formatCode>0.000</c:formatCode>
                <c:ptCount val="90"/>
                <c:pt idx="0">
                  <c:v>0.04</c:v>
                </c:pt>
                <c:pt idx="1">
                  <c:v>2.1276595744680851E-2</c:v>
                </c:pt>
                <c:pt idx="2">
                  <c:v>2.3809523809523808E-2</c:v>
                </c:pt>
                <c:pt idx="3">
                  <c:v>2.6315789473684209E-2</c:v>
                </c:pt>
                <c:pt idx="4">
                  <c:v>3.3333333333333333E-2</c:v>
                </c:pt>
                <c:pt idx="5">
                  <c:v>3.3333333333333333E-2</c:v>
                </c:pt>
                <c:pt idx="6">
                  <c:v>3.125E-2</c:v>
                </c:pt>
                <c:pt idx="7">
                  <c:v>2.6315789473684209E-2</c:v>
                </c:pt>
                <c:pt idx="8">
                  <c:v>2.9411764705882353E-2</c:v>
                </c:pt>
                <c:pt idx="9">
                  <c:v>2.9411764705882353E-2</c:v>
                </c:pt>
                <c:pt idx="10">
                  <c:v>2.4390243902439025E-2</c:v>
                </c:pt>
                <c:pt idx="11">
                  <c:v>2.7027027027027029E-2</c:v>
                </c:pt>
                <c:pt idx="12">
                  <c:v>2.564102564102564E-2</c:v>
                </c:pt>
                <c:pt idx="13">
                  <c:v>2.7777777777777776E-2</c:v>
                </c:pt>
                <c:pt idx="14">
                  <c:v>2.9411764705882353E-2</c:v>
                </c:pt>
                <c:pt idx="15">
                  <c:v>3.4482758620689655E-2</c:v>
                </c:pt>
                <c:pt idx="16">
                  <c:v>3.2258064516129031E-2</c:v>
                </c:pt>
                <c:pt idx="17">
                  <c:v>2.4390243902439025E-2</c:v>
                </c:pt>
                <c:pt idx="18">
                  <c:v>6.6666666666666666E-2</c:v>
                </c:pt>
                <c:pt idx="19">
                  <c:v>3.7037037037037035E-2</c:v>
                </c:pt>
                <c:pt idx="20">
                  <c:v>2.1739130434782608E-2</c:v>
                </c:pt>
                <c:pt idx="21">
                  <c:v>2.9411764705882353E-2</c:v>
                </c:pt>
                <c:pt idx="22">
                  <c:v>2.564102564102564E-2</c:v>
                </c:pt>
                <c:pt idx="23">
                  <c:v>2.0408163265306121E-2</c:v>
                </c:pt>
                <c:pt idx="24">
                  <c:v>4.5454545454545456E-2</c:v>
                </c:pt>
                <c:pt idx="25">
                  <c:v>2.0833333333333332E-2</c:v>
                </c:pt>
                <c:pt idx="26">
                  <c:v>3.3333333333333333E-2</c:v>
                </c:pt>
                <c:pt idx="27">
                  <c:v>3.4482758620689655E-2</c:v>
                </c:pt>
                <c:pt idx="28">
                  <c:v>3.4482758620689655E-2</c:v>
                </c:pt>
                <c:pt idx="29">
                  <c:v>2.6315789473684209E-2</c:v>
                </c:pt>
                <c:pt idx="30">
                  <c:v>2.7027027027027029E-2</c:v>
                </c:pt>
                <c:pt idx="31">
                  <c:v>1.8181818181818181E-2</c:v>
                </c:pt>
                <c:pt idx="32">
                  <c:v>2.6315789473684209E-2</c:v>
                </c:pt>
                <c:pt idx="33">
                  <c:v>3.7037037037037035E-2</c:v>
                </c:pt>
                <c:pt idx="34">
                  <c:v>2.2727272727272728E-2</c:v>
                </c:pt>
                <c:pt idx="35">
                  <c:v>2.0833333333333332E-2</c:v>
                </c:pt>
                <c:pt idx="36">
                  <c:v>2.8571428571428571E-2</c:v>
                </c:pt>
                <c:pt idx="37">
                  <c:v>2.8571428571428571E-2</c:v>
                </c:pt>
                <c:pt idx="38">
                  <c:v>3.5714285714285712E-2</c:v>
                </c:pt>
                <c:pt idx="39">
                  <c:v>2.564102564102564E-2</c:v>
                </c:pt>
                <c:pt idx="40">
                  <c:v>2.6315789473684209E-2</c:v>
                </c:pt>
                <c:pt idx="41">
                  <c:v>2.8571428571428571E-2</c:v>
                </c:pt>
                <c:pt idx="42">
                  <c:v>2.5000000000000001E-2</c:v>
                </c:pt>
                <c:pt idx="43">
                  <c:v>2.2727272727272728E-2</c:v>
                </c:pt>
                <c:pt idx="44">
                  <c:v>3.3333333333333333E-2</c:v>
                </c:pt>
                <c:pt idx="45">
                  <c:v>2.3255813953488372E-2</c:v>
                </c:pt>
                <c:pt idx="46">
                  <c:v>2.3255813953488372E-2</c:v>
                </c:pt>
                <c:pt idx="47">
                  <c:v>3.7037037037037035E-2</c:v>
                </c:pt>
                <c:pt idx="48">
                  <c:v>2.0408163265306121E-2</c:v>
                </c:pt>
                <c:pt idx="49">
                  <c:v>2.8571428571428571E-2</c:v>
                </c:pt>
                <c:pt idx="50">
                  <c:v>2.7777777777777776E-2</c:v>
                </c:pt>
                <c:pt idx="51">
                  <c:v>6.6666666666666666E-2</c:v>
                </c:pt>
                <c:pt idx="52">
                  <c:v>3.0303030303030304E-2</c:v>
                </c:pt>
                <c:pt idx="53">
                  <c:v>3.7037037037037035E-2</c:v>
                </c:pt>
                <c:pt idx="54">
                  <c:v>2.3255813953488372E-2</c:v>
                </c:pt>
                <c:pt idx="55">
                  <c:v>2.1276595744680851E-2</c:v>
                </c:pt>
                <c:pt idx="56">
                  <c:v>3.0303030303030304E-2</c:v>
                </c:pt>
                <c:pt idx="57">
                  <c:v>3.5714285714285712E-2</c:v>
                </c:pt>
                <c:pt idx="58">
                  <c:v>2.4390243902439025E-2</c:v>
                </c:pt>
                <c:pt idx="59">
                  <c:v>1.6949152542372881E-2</c:v>
                </c:pt>
                <c:pt idx="60">
                  <c:v>4.3478260869565216E-2</c:v>
                </c:pt>
                <c:pt idx="61">
                  <c:v>2.564102564102564E-2</c:v>
                </c:pt>
                <c:pt idx="62">
                  <c:v>2.7027027027027029E-2</c:v>
                </c:pt>
                <c:pt idx="63">
                  <c:v>2.0408163265306121E-2</c:v>
                </c:pt>
                <c:pt idx="64">
                  <c:v>3.8461538461538464E-2</c:v>
                </c:pt>
                <c:pt idx="65">
                  <c:v>0.05</c:v>
                </c:pt>
                <c:pt idx="66">
                  <c:v>2.0833333333333332E-2</c:v>
                </c:pt>
                <c:pt idx="67">
                  <c:v>3.125E-2</c:v>
                </c:pt>
                <c:pt idx="68">
                  <c:v>1.9230769230769232E-2</c:v>
                </c:pt>
                <c:pt idx="69">
                  <c:v>2.3255813953488372E-2</c:v>
                </c:pt>
                <c:pt idx="70">
                  <c:v>2.0408163265306121E-2</c:v>
                </c:pt>
                <c:pt idx="71">
                  <c:v>2.564102564102564E-2</c:v>
                </c:pt>
                <c:pt idx="72">
                  <c:v>2.3809523809523808E-2</c:v>
                </c:pt>
                <c:pt idx="73">
                  <c:v>2.7027027027027029E-2</c:v>
                </c:pt>
                <c:pt idx="74">
                  <c:v>3.3333333333333333E-2</c:v>
                </c:pt>
                <c:pt idx="75">
                  <c:v>3.7037037037037035E-2</c:v>
                </c:pt>
                <c:pt idx="76">
                  <c:v>5.5555555555555552E-2</c:v>
                </c:pt>
                <c:pt idx="77">
                  <c:v>2.3809523809523808E-2</c:v>
                </c:pt>
                <c:pt idx="78">
                  <c:v>4.1666666666666664E-2</c:v>
                </c:pt>
                <c:pt idx="79">
                  <c:v>3.2258064516129031E-2</c:v>
                </c:pt>
                <c:pt idx="80">
                  <c:v>3.7037037037037035E-2</c:v>
                </c:pt>
                <c:pt idx="81">
                  <c:v>2.9411764705882353E-2</c:v>
                </c:pt>
                <c:pt idx="82">
                  <c:v>4.1666666666666664E-2</c:v>
                </c:pt>
                <c:pt idx="83">
                  <c:v>2.3255813953488372E-2</c:v>
                </c:pt>
                <c:pt idx="84">
                  <c:v>2.1739130434782608E-2</c:v>
                </c:pt>
                <c:pt idx="85">
                  <c:v>2.7027027027027029E-2</c:v>
                </c:pt>
                <c:pt idx="86">
                  <c:v>2.8571428571428571E-2</c:v>
                </c:pt>
                <c:pt idx="87">
                  <c:v>3.5714285714285712E-2</c:v>
                </c:pt>
                <c:pt idx="88">
                  <c:v>4.5454545454545456E-2</c:v>
                </c:pt>
                <c:pt idx="89">
                  <c:v>2.8571428571428571E-2</c:v>
                </c:pt>
              </c:numCache>
            </c:numRef>
          </c:xVal>
          <c:yVal>
            <c:numRef>
              <c:f>help_hyperbolic_xz!$C$25:$C$114</c:f>
              <c:numCache>
                <c:formatCode>0.000</c:formatCode>
                <c:ptCount val="90"/>
                <c:pt idx="0">
                  <c:v>-1.7192563269425349</c:v>
                </c:pt>
                <c:pt idx="1">
                  <c:v>-0.28455180254489232</c:v>
                </c:pt>
                <c:pt idx="2">
                  <c:v>-4.3433592327934907</c:v>
                </c:pt>
                <c:pt idx="3">
                  <c:v>4.5984523625394749</c:v>
                </c:pt>
                <c:pt idx="4">
                  <c:v>3.4355248294717775</c:v>
                </c:pt>
                <c:pt idx="5">
                  <c:v>-0.56447517052822249</c:v>
                </c:pt>
                <c:pt idx="6">
                  <c:v>-0.51610605914874963</c:v>
                </c:pt>
                <c:pt idx="7">
                  <c:v>0.59845236253947487</c:v>
                </c:pt>
                <c:pt idx="8">
                  <c:v>-4.4734274314609799</c:v>
                </c:pt>
                <c:pt idx="9">
                  <c:v>1.5265725685390201</c:v>
                </c:pt>
                <c:pt idx="10">
                  <c:v>-3.3568419119236577</c:v>
                </c:pt>
                <c:pt idx="11">
                  <c:v>0.58193943689072114</c:v>
                </c:pt>
                <c:pt idx="12">
                  <c:v>-1.3858815285117085</c:v>
                </c:pt>
                <c:pt idx="13">
                  <c:v>2.5645091264837045</c:v>
                </c:pt>
                <c:pt idx="14">
                  <c:v>-4.4734274314609799</c:v>
                </c:pt>
                <c:pt idx="15">
                  <c:v>4.4088384231934477</c:v>
                </c:pt>
                <c:pt idx="16">
                  <c:v>2.4604895321192473</c:v>
                </c:pt>
                <c:pt idx="17">
                  <c:v>0.64315808807634234</c:v>
                </c:pt>
                <c:pt idx="18">
                  <c:v>-0.33838095259978296</c:v>
                </c:pt>
                <c:pt idx="19">
                  <c:v>4.3495352981304931</c:v>
                </c:pt>
                <c:pt idx="20">
                  <c:v>6.7047094493227553</c:v>
                </c:pt>
                <c:pt idx="21">
                  <c:v>-4.4734274314609799</c:v>
                </c:pt>
                <c:pt idx="22">
                  <c:v>2.6141184714882915</c:v>
                </c:pt>
                <c:pt idx="23">
                  <c:v>-3.2643892550310865</c:v>
                </c:pt>
                <c:pt idx="24">
                  <c:v>-0.84589545491788076</c:v>
                </c:pt>
                <c:pt idx="25">
                  <c:v>3.7257394977486129</c:v>
                </c:pt>
                <c:pt idx="26">
                  <c:v>3.4355248294717775</c:v>
                </c:pt>
                <c:pt idx="27">
                  <c:v>-2.5911615768065523</c:v>
                </c:pt>
                <c:pt idx="28">
                  <c:v>-3.5911615768065523</c:v>
                </c:pt>
                <c:pt idx="29">
                  <c:v>3.5984523625394749</c:v>
                </c:pt>
                <c:pt idx="30">
                  <c:v>-2.4180605631092789</c:v>
                </c:pt>
                <c:pt idx="31">
                  <c:v>-3.2126998150411499</c:v>
                </c:pt>
                <c:pt idx="32">
                  <c:v>-1.4015476374605251</c:v>
                </c:pt>
                <c:pt idx="33">
                  <c:v>3.3495352981304931</c:v>
                </c:pt>
                <c:pt idx="34">
                  <c:v>0.68176757831272816</c:v>
                </c:pt>
                <c:pt idx="35">
                  <c:v>2.7257394977486129</c:v>
                </c:pt>
                <c:pt idx="36">
                  <c:v>-0.45391720166085658</c:v>
                </c:pt>
                <c:pt idx="37">
                  <c:v>-4.4539172016608566</c:v>
                </c:pt>
                <c:pt idx="38">
                  <c:v>1.380245845038095</c:v>
                </c:pt>
                <c:pt idx="39">
                  <c:v>-1.3858815285117085</c:v>
                </c:pt>
                <c:pt idx="40">
                  <c:v>3.5984523625394749</c:v>
                </c:pt>
                <c:pt idx="41">
                  <c:v>1.5460827983391434</c:v>
                </c:pt>
                <c:pt idx="42">
                  <c:v>-4.3709987250103328</c:v>
                </c:pt>
                <c:pt idx="43">
                  <c:v>-4.3182324216872718</c:v>
                </c:pt>
                <c:pt idx="44">
                  <c:v>-3.5644751705282225</c:v>
                </c:pt>
                <c:pt idx="45">
                  <c:v>-4.3305036550182159</c:v>
                </c:pt>
                <c:pt idx="46">
                  <c:v>-4.3305036550182159</c:v>
                </c:pt>
                <c:pt idx="47">
                  <c:v>-1.6504647018695069</c:v>
                </c:pt>
                <c:pt idx="48">
                  <c:v>6.7356107449689135</c:v>
                </c:pt>
                <c:pt idx="49">
                  <c:v>7.5460827983391434</c:v>
                </c:pt>
                <c:pt idx="50">
                  <c:v>-4.4354908735162955</c:v>
                </c:pt>
                <c:pt idx="51">
                  <c:v>2.661619047400217</c:v>
                </c:pt>
                <c:pt idx="52">
                  <c:v>-0.49412009943080815</c:v>
                </c:pt>
                <c:pt idx="53">
                  <c:v>-1.6504647018695069</c:v>
                </c:pt>
                <c:pt idx="54">
                  <c:v>2.6694963449817841</c:v>
                </c:pt>
                <c:pt idx="55">
                  <c:v>-1.2845518025448923</c:v>
                </c:pt>
                <c:pt idx="56">
                  <c:v>-0.49412009943080815</c:v>
                </c:pt>
                <c:pt idx="57">
                  <c:v>-3.619754154961905</c:v>
                </c:pt>
                <c:pt idx="58">
                  <c:v>0.64315808807634234</c:v>
                </c:pt>
                <c:pt idx="59">
                  <c:v>4.8159191969306798</c:v>
                </c:pt>
                <c:pt idx="60">
                  <c:v>0.19998828710217254</c:v>
                </c:pt>
                <c:pt idx="61">
                  <c:v>1.6141184714882915</c:v>
                </c:pt>
                <c:pt idx="62">
                  <c:v>2.5819394368907211</c:v>
                </c:pt>
                <c:pt idx="63">
                  <c:v>3.7356107449689135</c:v>
                </c:pt>
                <c:pt idx="64">
                  <c:v>-1.6835375985392318</c:v>
                </c:pt>
                <c:pt idx="65">
                  <c:v>2.0485719384359973</c:v>
                </c:pt>
                <c:pt idx="66">
                  <c:v>-3.2742605022513871</c:v>
                </c:pt>
                <c:pt idx="67">
                  <c:v>-4.5161060591487496</c:v>
                </c:pt>
                <c:pt idx="68">
                  <c:v>-2.2370534934979469</c:v>
                </c:pt>
                <c:pt idx="69">
                  <c:v>4.6694963449817841</c:v>
                </c:pt>
                <c:pt idx="70">
                  <c:v>3.7356107449689135</c:v>
                </c:pt>
                <c:pt idx="71">
                  <c:v>-1.3858815285117085</c:v>
                </c:pt>
                <c:pt idx="72">
                  <c:v>2.6566407672065093</c:v>
                </c:pt>
                <c:pt idx="73">
                  <c:v>0.58193943689072114</c:v>
                </c:pt>
                <c:pt idx="74">
                  <c:v>1.4355248294717775</c:v>
                </c:pt>
                <c:pt idx="75">
                  <c:v>1.3495352981304931</c:v>
                </c:pt>
                <c:pt idx="76">
                  <c:v>-8.0412358575928877E-2</c:v>
                </c:pt>
                <c:pt idx="77">
                  <c:v>-1.3433592327934907</c:v>
                </c:pt>
                <c:pt idx="78">
                  <c:v>-2.7579516160461122</c:v>
                </c:pt>
                <c:pt idx="79">
                  <c:v>-4.5395104678807527</c:v>
                </c:pt>
                <c:pt idx="80">
                  <c:v>0.34953529813049311</c:v>
                </c:pt>
                <c:pt idx="81">
                  <c:v>-0.47342743146097988</c:v>
                </c:pt>
                <c:pt idx="82">
                  <c:v>0.24204838395388784</c:v>
                </c:pt>
                <c:pt idx="83">
                  <c:v>0.66949634498178412</c:v>
                </c:pt>
                <c:pt idx="84">
                  <c:v>1.7047094493227553</c:v>
                </c:pt>
                <c:pt idx="85">
                  <c:v>-2.4180605631092789</c:v>
                </c:pt>
                <c:pt idx="86">
                  <c:v>-0.45391720166085658</c:v>
                </c:pt>
                <c:pt idx="87">
                  <c:v>-1.619754154961905</c:v>
                </c:pt>
                <c:pt idx="88">
                  <c:v>4.1541045450821192</c:v>
                </c:pt>
                <c:pt idx="89">
                  <c:v>-4.4539172016608566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BD-483C-A568-5CA830E02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300128"/>
        <c:axId val="1845296768"/>
      </c:scatterChart>
      <c:valAx>
        <c:axId val="184530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1/X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low"/>
        <c:crossAx val="1845296768"/>
        <c:crosses val="autoZero"/>
        <c:crossBetween val="midCat"/>
      </c:valAx>
      <c:valAx>
        <c:axId val="1845296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8453001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Корреляцинное</a:t>
            </a:r>
            <a:r>
              <a:rPr lang="ru-RU" baseline="0"/>
              <a:t> поле (логарифмическая модель)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logarithmic_xz!$C$1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forward val="0.5"/>
            <c:backward val="0.5"/>
            <c:dispRSqr val="0"/>
            <c:dispEq val="0"/>
          </c:trendline>
          <c:xVal>
            <c:numRef>
              <c:f>logarithmic_xz!$B$2:$B$91</c:f>
              <c:numCache>
                <c:formatCode>0.000</c:formatCode>
                <c:ptCount val="90"/>
                <c:pt idx="0">
                  <c:v>3.2188758248682006</c:v>
                </c:pt>
                <c:pt idx="1">
                  <c:v>3.8501476017100584</c:v>
                </c:pt>
                <c:pt idx="2">
                  <c:v>3.7376696182833684</c:v>
                </c:pt>
                <c:pt idx="3">
                  <c:v>3.6375861597263857</c:v>
                </c:pt>
                <c:pt idx="4">
                  <c:v>3.4011973816621555</c:v>
                </c:pt>
                <c:pt idx="5">
                  <c:v>3.4011973816621555</c:v>
                </c:pt>
                <c:pt idx="6">
                  <c:v>3.4657359027997265</c:v>
                </c:pt>
                <c:pt idx="7">
                  <c:v>3.6375861597263857</c:v>
                </c:pt>
                <c:pt idx="8">
                  <c:v>3.5263605246161616</c:v>
                </c:pt>
                <c:pt idx="9">
                  <c:v>3.5263605246161616</c:v>
                </c:pt>
                <c:pt idx="10">
                  <c:v>3.713572066704308</c:v>
                </c:pt>
                <c:pt idx="11">
                  <c:v>3.6109179126442243</c:v>
                </c:pt>
                <c:pt idx="12">
                  <c:v>3.6635616461296463</c:v>
                </c:pt>
                <c:pt idx="13">
                  <c:v>3.5835189384561099</c:v>
                </c:pt>
                <c:pt idx="14">
                  <c:v>3.5263605246161616</c:v>
                </c:pt>
                <c:pt idx="15">
                  <c:v>3.3672958299864741</c:v>
                </c:pt>
                <c:pt idx="16">
                  <c:v>3.4339872044851463</c:v>
                </c:pt>
                <c:pt idx="17">
                  <c:v>3.713572066704308</c:v>
                </c:pt>
                <c:pt idx="18">
                  <c:v>2.7080502011022101</c:v>
                </c:pt>
                <c:pt idx="19">
                  <c:v>3.2958368660043291</c:v>
                </c:pt>
                <c:pt idx="20">
                  <c:v>3.8286413964890951</c:v>
                </c:pt>
                <c:pt idx="21">
                  <c:v>3.5263605246161616</c:v>
                </c:pt>
                <c:pt idx="22">
                  <c:v>3.6635616461296463</c:v>
                </c:pt>
                <c:pt idx="23">
                  <c:v>3.8918202981106265</c:v>
                </c:pt>
                <c:pt idx="24">
                  <c:v>3.0910424533583161</c:v>
                </c:pt>
                <c:pt idx="25">
                  <c:v>3.8712010109078911</c:v>
                </c:pt>
                <c:pt idx="26">
                  <c:v>3.4011973816621555</c:v>
                </c:pt>
                <c:pt idx="27">
                  <c:v>3.3672958299864741</c:v>
                </c:pt>
                <c:pt idx="28">
                  <c:v>3.3672958299864741</c:v>
                </c:pt>
                <c:pt idx="29">
                  <c:v>3.6375861597263857</c:v>
                </c:pt>
                <c:pt idx="30">
                  <c:v>3.6109179126442243</c:v>
                </c:pt>
                <c:pt idx="31">
                  <c:v>4.0073331852324712</c:v>
                </c:pt>
                <c:pt idx="32">
                  <c:v>3.6375861597263857</c:v>
                </c:pt>
                <c:pt idx="33">
                  <c:v>3.2958368660043291</c:v>
                </c:pt>
                <c:pt idx="34">
                  <c:v>3.784189633918261</c:v>
                </c:pt>
                <c:pt idx="35">
                  <c:v>3.8712010109078911</c:v>
                </c:pt>
                <c:pt idx="36">
                  <c:v>3.5553480614894135</c:v>
                </c:pt>
                <c:pt idx="37">
                  <c:v>3.5553480614894135</c:v>
                </c:pt>
                <c:pt idx="38">
                  <c:v>3.3322045101752038</c:v>
                </c:pt>
                <c:pt idx="39">
                  <c:v>3.6635616461296463</c:v>
                </c:pt>
                <c:pt idx="40">
                  <c:v>3.6375861597263857</c:v>
                </c:pt>
                <c:pt idx="41">
                  <c:v>3.5553480614894135</c:v>
                </c:pt>
                <c:pt idx="42">
                  <c:v>3.6888794541139363</c:v>
                </c:pt>
                <c:pt idx="43">
                  <c:v>3.784189633918261</c:v>
                </c:pt>
                <c:pt idx="44">
                  <c:v>3.4011973816621555</c:v>
                </c:pt>
                <c:pt idx="45">
                  <c:v>3.7612001156935624</c:v>
                </c:pt>
                <c:pt idx="46">
                  <c:v>3.7612001156935624</c:v>
                </c:pt>
                <c:pt idx="47">
                  <c:v>3.2958368660043291</c:v>
                </c:pt>
                <c:pt idx="48">
                  <c:v>3.8918202981106265</c:v>
                </c:pt>
                <c:pt idx="49">
                  <c:v>3.5553480614894135</c:v>
                </c:pt>
                <c:pt idx="50">
                  <c:v>3.5835189384561099</c:v>
                </c:pt>
                <c:pt idx="51">
                  <c:v>2.7080502011022101</c:v>
                </c:pt>
                <c:pt idx="52">
                  <c:v>3.4965075614664802</c:v>
                </c:pt>
                <c:pt idx="53">
                  <c:v>3.2958368660043291</c:v>
                </c:pt>
                <c:pt idx="54">
                  <c:v>3.7612001156935624</c:v>
                </c:pt>
                <c:pt idx="55">
                  <c:v>3.8501476017100584</c:v>
                </c:pt>
                <c:pt idx="56">
                  <c:v>3.4965075614664802</c:v>
                </c:pt>
                <c:pt idx="57">
                  <c:v>3.3322045101752038</c:v>
                </c:pt>
                <c:pt idx="58">
                  <c:v>3.713572066704308</c:v>
                </c:pt>
                <c:pt idx="59">
                  <c:v>4.0775374439057197</c:v>
                </c:pt>
                <c:pt idx="60">
                  <c:v>3.1354942159291497</c:v>
                </c:pt>
                <c:pt idx="61">
                  <c:v>3.6635616461296463</c:v>
                </c:pt>
                <c:pt idx="62">
                  <c:v>3.6109179126442243</c:v>
                </c:pt>
                <c:pt idx="63">
                  <c:v>3.8918202981106265</c:v>
                </c:pt>
                <c:pt idx="64">
                  <c:v>3.2580965380214821</c:v>
                </c:pt>
                <c:pt idx="65">
                  <c:v>2.9957322735539909</c:v>
                </c:pt>
                <c:pt idx="66">
                  <c:v>3.8712010109078911</c:v>
                </c:pt>
                <c:pt idx="67">
                  <c:v>3.4657359027997265</c:v>
                </c:pt>
                <c:pt idx="68">
                  <c:v>3.9512437185814275</c:v>
                </c:pt>
                <c:pt idx="69">
                  <c:v>3.7612001156935624</c:v>
                </c:pt>
                <c:pt idx="70">
                  <c:v>3.8918202981106265</c:v>
                </c:pt>
                <c:pt idx="71">
                  <c:v>3.6635616461296463</c:v>
                </c:pt>
                <c:pt idx="72">
                  <c:v>3.7376696182833684</c:v>
                </c:pt>
                <c:pt idx="73">
                  <c:v>3.6109179126442243</c:v>
                </c:pt>
                <c:pt idx="74">
                  <c:v>3.4011973816621555</c:v>
                </c:pt>
                <c:pt idx="75">
                  <c:v>3.2958368660043291</c:v>
                </c:pt>
                <c:pt idx="76">
                  <c:v>2.8903717578961645</c:v>
                </c:pt>
                <c:pt idx="77">
                  <c:v>3.7376696182833684</c:v>
                </c:pt>
                <c:pt idx="78">
                  <c:v>3.1780538303479458</c:v>
                </c:pt>
                <c:pt idx="79">
                  <c:v>3.4339872044851463</c:v>
                </c:pt>
                <c:pt idx="80">
                  <c:v>3.2958368660043291</c:v>
                </c:pt>
                <c:pt idx="81">
                  <c:v>3.5263605246161616</c:v>
                </c:pt>
                <c:pt idx="82">
                  <c:v>3.1780538303479458</c:v>
                </c:pt>
                <c:pt idx="83">
                  <c:v>3.7612001156935624</c:v>
                </c:pt>
                <c:pt idx="84">
                  <c:v>3.8286413964890951</c:v>
                </c:pt>
                <c:pt idx="85">
                  <c:v>3.6109179126442243</c:v>
                </c:pt>
                <c:pt idx="86">
                  <c:v>3.5553480614894135</c:v>
                </c:pt>
                <c:pt idx="87">
                  <c:v>3.3322045101752038</c:v>
                </c:pt>
                <c:pt idx="88">
                  <c:v>3.0910424533583161</c:v>
                </c:pt>
                <c:pt idx="89">
                  <c:v>3.5553480614894135</c:v>
                </c:pt>
              </c:numCache>
            </c:numRef>
          </c:xVal>
          <c:yVal>
            <c:numRef>
              <c:f>logarithmic_xz!$C$2:$C$91</c:f>
              <c:numCache>
                <c:formatCode>General</c:formatCode>
                <c:ptCount val="90"/>
                <c:pt idx="0">
                  <c:v>-7</c:v>
                </c:pt>
                <c:pt idx="1">
                  <c:v>-6</c:v>
                </c:pt>
                <c:pt idx="2">
                  <c:v>-10</c:v>
                </c:pt>
                <c:pt idx="3">
                  <c:v>-1</c:v>
                </c:pt>
                <c:pt idx="4">
                  <c:v>-2</c:v>
                </c:pt>
                <c:pt idx="5">
                  <c:v>-6</c:v>
                </c:pt>
                <c:pt idx="6">
                  <c:v>-6</c:v>
                </c:pt>
                <c:pt idx="7">
                  <c:v>-5</c:v>
                </c:pt>
                <c:pt idx="8">
                  <c:v>-10</c:v>
                </c:pt>
                <c:pt idx="9">
                  <c:v>-4</c:v>
                </c:pt>
                <c:pt idx="10">
                  <c:v>-9</c:v>
                </c:pt>
                <c:pt idx="11">
                  <c:v>-5</c:v>
                </c:pt>
                <c:pt idx="12">
                  <c:v>-7</c:v>
                </c:pt>
                <c:pt idx="13">
                  <c:v>-3</c:v>
                </c:pt>
                <c:pt idx="14">
                  <c:v>-10</c:v>
                </c:pt>
                <c:pt idx="15">
                  <c:v>-1</c:v>
                </c:pt>
                <c:pt idx="16">
                  <c:v>-3</c:v>
                </c:pt>
                <c:pt idx="17">
                  <c:v>-5</c:v>
                </c:pt>
                <c:pt idx="18">
                  <c:v>-5</c:v>
                </c:pt>
                <c:pt idx="19">
                  <c:v>-1</c:v>
                </c:pt>
                <c:pt idx="20">
                  <c:v>1</c:v>
                </c:pt>
                <c:pt idx="21">
                  <c:v>-10</c:v>
                </c:pt>
                <c:pt idx="22">
                  <c:v>-3</c:v>
                </c:pt>
                <c:pt idx="23">
                  <c:v>-9</c:v>
                </c:pt>
                <c:pt idx="24">
                  <c:v>-6</c:v>
                </c:pt>
                <c:pt idx="25">
                  <c:v>-2</c:v>
                </c:pt>
                <c:pt idx="26">
                  <c:v>-2</c:v>
                </c:pt>
                <c:pt idx="27">
                  <c:v>-8</c:v>
                </c:pt>
                <c:pt idx="28">
                  <c:v>-9</c:v>
                </c:pt>
                <c:pt idx="29">
                  <c:v>-2</c:v>
                </c:pt>
                <c:pt idx="30">
                  <c:v>-8</c:v>
                </c:pt>
                <c:pt idx="31">
                  <c:v>-9</c:v>
                </c:pt>
                <c:pt idx="32">
                  <c:v>-7</c:v>
                </c:pt>
                <c:pt idx="33">
                  <c:v>-2</c:v>
                </c:pt>
                <c:pt idx="34">
                  <c:v>-5</c:v>
                </c:pt>
                <c:pt idx="35">
                  <c:v>-3</c:v>
                </c:pt>
                <c:pt idx="36">
                  <c:v>-6</c:v>
                </c:pt>
                <c:pt idx="37">
                  <c:v>-10</c:v>
                </c:pt>
                <c:pt idx="38">
                  <c:v>-4</c:v>
                </c:pt>
                <c:pt idx="39">
                  <c:v>-7</c:v>
                </c:pt>
                <c:pt idx="40">
                  <c:v>-2</c:v>
                </c:pt>
                <c:pt idx="41">
                  <c:v>-4</c:v>
                </c:pt>
                <c:pt idx="42">
                  <c:v>-10</c:v>
                </c:pt>
                <c:pt idx="43">
                  <c:v>-10</c:v>
                </c:pt>
                <c:pt idx="44">
                  <c:v>-9</c:v>
                </c:pt>
                <c:pt idx="45">
                  <c:v>-10</c:v>
                </c:pt>
                <c:pt idx="46">
                  <c:v>-10</c:v>
                </c:pt>
                <c:pt idx="47">
                  <c:v>-7</c:v>
                </c:pt>
                <c:pt idx="48">
                  <c:v>1</c:v>
                </c:pt>
                <c:pt idx="49">
                  <c:v>2</c:v>
                </c:pt>
                <c:pt idx="50">
                  <c:v>-10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-3</c:v>
                </c:pt>
                <c:pt idx="55">
                  <c:v>-7</c:v>
                </c:pt>
                <c:pt idx="56">
                  <c:v>-6</c:v>
                </c:pt>
                <c:pt idx="57">
                  <c:v>-9</c:v>
                </c:pt>
                <c:pt idx="58">
                  <c:v>-5</c:v>
                </c:pt>
                <c:pt idx="59">
                  <c:v>-1</c:v>
                </c:pt>
                <c:pt idx="60">
                  <c:v>-5</c:v>
                </c:pt>
                <c:pt idx="61">
                  <c:v>-4</c:v>
                </c:pt>
                <c:pt idx="62">
                  <c:v>-3</c:v>
                </c:pt>
                <c:pt idx="63">
                  <c:v>-2</c:v>
                </c:pt>
                <c:pt idx="64">
                  <c:v>-7</c:v>
                </c:pt>
                <c:pt idx="65">
                  <c:v>-3</c:v>
                </c:pt>
                <c:pt idx="66">
                  <c:v>-9</c:v>
                </c:pt>
                <c:pt idx="67">
                  <c:v>-10</c:v>
                </c:pt>
                <c:pt idx="68">
                  <c:v>-8</c:v>
                </c:pt>
                <c:pt idx="69">
                  <c:v>-1</c:v>
                </c:pt>
                <c:pt idx="70">
                  <c:v>-2</c:v>
                </c:pt>
                <c:pt idx="71">
                  <c:v>-7</c:v>
                </c:pt>
                <c:pt idx="72">
                  <c:v>-3</c:v>
                </c:pt>
                <c:pt idx="73">
                  <c:v>-5</c:v>
                </c:pt>
                <c:pt idx="74">
                  <c:v>-4</c:v>
                </c:pt>
                <c:pt idx="75">
                  <c:v>-4</c:v>
                </c:pt>
                <c:pt idx="76">
                  <c:v>-5</c:v>
                </c:pt>
                <c:pt idx="77">
                  <c:v>-7</c:v>
                </c:pt>
                <c:pt idx="78">
                  <c:v>-8</c:v>
                </c:pt>
                <c:pt idx="79">
                  <c:v>-10</c:v>
                </c:pt>
                <c:pt idx="80">
                  <c:v>-5</c:v>
                </c:pt>
                <c:pt idx="81">
                  <c:v>-6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-8</c:v>
                </c:pt>
                <c:pt idx="86">
                  <c:v>-6</c:v>
                </c:pt>
                <c:pt idx="87">
                  <c:v>-7</c:v>
                </c:pt>
                <c:pt idx="88">
                  <c:v>-1</c:v>
                </c:pt>
                <c:pt idx="8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9-4034-AC82-DE769070B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608352"/>
        <c:axId val="1554607392"/>
      </c:scatterChart>
      <c:valAx>
        <c:axId val="1554608352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ln(X)-</a:t>
                </a:r>
                <a:r>
                  <a:rPr lang="ru-RU"/>
                  <a:t>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4607392"/>
        <c:crosses val="autoZero"/>
        <c:crossBetween val="midCat"/>
      </c:valAx>
      <c:valAx>
        <c:axId val="15546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Z-</a:t>
                </a:r>
                <a:r>
                  <a:rPr lang="ru-RU"/>
                  <a:t>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460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ln(X)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logarithmic_xz!$B$2:$B$91</c:f>
              <c:numCache>
                <c:formatCode>0.000</c:formatCode>
                <c:ptCount val="90"/>
                <c:pt idx="0">
                  <c:v>3.2188758248682006</c:v>
                </c:pt>
                <c:pt idx="1">
                  <c:v>3.8501476017100584</c:v>
                </c:pt>
                <c:pt idx="2">
                  <c:v>3.7376696182833684</c:v>
                </c:pt>
                <c:pt idx="3">
                  <c:v>3.6375861597263857</c:v>
                </c:pt>
                <c:pt idx="4">
                  <c:v>3.4011973816621555</c:v>
                </c:pt>
                <c:pt idx="5">
                  <c:v>3.4011973816621555</c:v>
                </c:pt>
                <c:pt idx="6">
                  <c:v>3.4657359027997265</c:v>
                </c:pt>
                <c:pt idx="7">
                  <c:v>3.6375861597263857</c:v>
                </c:pt>
                <c:pt idx="8">
                  <c:v>3.5263605246161616</c:v>
                </c:pt>
                <c:pt idx="9">
                  <c:v>3.5263605246161616</c:v>
                </c:pt>
                <c:pt idx="10">
                  <c:v>3.713572066704308</c:v>
                </c:pt>
                <c:pt idx="11">
                  <c:v>3.6109179126442243</c:v>
                </c:pt>
                <c:pt idx="12">
                  <c:v>3.6635616461296463</c:v>
                </c:pt>
                <c:pt idx="13">
                  <c:v>3.5835189384561099</c:v>
                </c:pt>
                <c:pt idx="14">
                  <c:v>3.5263605246161616</c:v>
                </c:pt>
                <c:pt idx="15">
                  <c:v>3.3672958299864741</c:v>
                </c:pt>
                <c:pt idx="16">
                  <c:v>3.4339872044851463</c:v>
                </c:pt>
                <c:pt idx="17">
                  <c:v>3.713572066704308</c:v>
                </c:pt>
                <c:pt idx="18">
                  <c:v>2.7080502011022101</c:v>
                </c:pt>
                <c:pt idx="19">
                  <c:v>3.2958368660043291</c:v>
                </c:pt>
                <c:pt idx="20">
                  <c:v>3.8286413964890951</c:v>
                </c:pt>
                <c:pt idx="21">
                  <c:v>3.5263605246161616</c:v>
                </c:pt>
                <c:pt idx="22">
                  <c:v>3.6635616461296463</c:v>
                </c:pt>
                <c:pt idx="23">
                  <c:v>3.8918202981106265</c:v>
                </c:pt>
                <c:pt idx="24">
                  <c:v>3.0910424533583161</c:v>
                </c:pt>
                <c:pt idx="25">
                  <c:v>3.8712010109078911</c:v>
                </c:pt>
                <c:pt idx="26">
                  <c:v>3.4011973816621555</c:v>
                </c:pt>
                <c:pt idx="27">
                  <c:v>3.3672958299864741</c:v>
                </c:pt>
                <c:pt idx="28">
                  <c:v>3.3672958299864741</c:v>
                </c:pt>
                <c:pt idx="29">
                  <c:v>3.6375861597263857</c:v>
                </c:pt>
                <c:pt idx="30">
                  <c:v>3.6109179126442243</c:v>
                </c:pt>
                <c:pt idx="31">
                  <c:v>4.0073331852324712</c:v>
                </c:pt>
                <c:pt idx="32">
                  <c:v>3.6375861597263857</c:v>
                </c:pt>
                <c:pt idx="33">
                  <c:v>3.2958368660043291</c:v>
                </c:pt>
                <c:pt idx="34">
                  <c:v>3.784189633918261</c:v>
                </c:pt>
                <c:pt idx="35">
                  <c:v>3.8712010109078911</c:v>
                </c:pt>
                <c:pt idx="36">
                  <c:v>3.5553480614894135</c:v>
                </c:pt>
                <c:pt idx="37">
                  <c:v>3.5553480614894135</c:v>
                </c:pt>
                <c:pt idx="38">
                  <c:v>3.3322045101752038</c:v>
                </c:pt>
                <c:pt idx="39">
                  <c:v>3.6635616461296463</c:v>
                </c:pt>
                <c:pt idx="40">
                  <c:v>3.6375861597263857</c:v>
                </c:pt>
                <c:pt idx="41">
                  <c:v>3.5553480614894135</c:v>
                </c:pt>
                <c:pt idx="42">
                  <c:v>3.6888794541139363</c:v>
                </c:pt>
                <c:pt idx="43">
                  <c:v>3.784189633918261</c:v>
                </c:pt>
                <c:pt idx="44">
                  <c:v>3.4011973816621555</c:v>
                </c:pt>
                <c:pt idx="45">
                  <c:v>3.7612001156935624</c:v>
                </c:pt>
                <c:pt idx="46">
                  <c:v>3.7612001156935624</c:v>
                </c:pt>
                <c:pt idx="47">
                  <c:v>3.2958368660043291</c:v>
                </c:pt>
                <c:pt idx="48">
                  <c:v>3.8918202981106265</c:v>
                </c:pt>
                <c:pt idx="49">
                  <c:v>3.5553480614894135</c:v>
                </c:pt>
                <c:pt idx="50">
                  <c:v>3.5835189384561099</c:v>
                </c:pt>
                <c:pt idx="51">
                  <c:v>2.7080502011022101</c:v>
                </c:pt>
                <c:pt idx="52">
                  <c:v>3.4965075614664802</c:v>
                </c:pt>
                <c:pt idx="53">
                  <c:v>3.2958368660043291</c:v>
                </c:pt>
                <c:pt idx="54">
                  <c:v>3.7612001156935624</c:v>
                </c:pt>
                <c:pt idx="55">
                  <c:v>3.8501476017100584</c:v>
                </c:pt>
                <c:pt idx="56">
                  <c:v>3.4965075614664802</c:v>
                </c:pt>
                <c:pt idx="57">
                  <c:v>3.3322045101752038</c:v>
                </c:pt>
                <c:pt idx="58">
                  <c:v>3.713572066704308</c:v>
                </c:pt>
                <c:pt idx="59">
                  <c:v>4.0775374439057197</c:v>
                </c:pt>
                <c:pt idx="60">
                  <c:v>3.1354942159291497</c:v>
                </c:pt>
                <c:pt idx="61">
                  <c:v>3.6635616461296463</c:v>
                </c:pt>
                <c:pt idx="62">
                  <c:v>3.6109179126442243</c:v>
                </c:pt>
                <c:pt idx="63">
                  <c:v>3.8918202981106265</c:v>
                </c:pt>
                <c:pt idx="64">
                  <c:v>3.2580965380214821</c:v>
                </c:pt>
                <c:pt idx="65">
                  <c:v>2.9957322735539909</c:v>
                </c:pt>
                <c:pt idx="66">
                  <c:v>3.8712010109078911</c:v>
                </c:pt>
                <c:pt idx="67">
                  <c:v>3.4657359027997265</c:v>
                </c:pt>
                <c:pt idx="68">
                  <c:v>3.9512437185814275</c:v>
                </c:pt>
                <c:pt idx="69">
                  <c:v>3.7612001156935624</c:v>
                </c:pt>
                <c:pt idx="70">
                  <c:v>3.8918202981106265</c:v>
                </c:pt>
                <c:pt idx="71">
                  <c:v>3.6635616461296463</c:v>
                </c:pt>
                <c:pt idx="72">
                  <c:v>3.7376696182833684</c:v>
                </c:pt>
                <c:pt idx="73">
                  <c:v>3.6109179126442243</c:v>
                </c:pt>
                <c:pt idx="74">
                  <c:v>3.4011973816621555</c:v>
                </c:pt>
                <c:pt idx="75">
                  <c:v>3.2958368660043291</c:v>
                </c:pt>
                <c:pt idx="76">
                  <c:v>2.8903717578961645</c:v>
                </c:pt>
                <c:pt idx="77">
                  <c:v>3.7376696182833684</c:v>
                </c:pt>
                <c:pt idx="78">
                  <c:v>3.1780538303479458</c:v>
                </c:pt>
                <c:pt idx="79">
                  <c:v>3.4339872044851463</c:v>
                </c:pt>
                <c:pt idx="80">
                  <c:v>3.2958368660043291</c:v>
                </c:pt>
                <c:pt idx="81">
                  <c:v>3.5263605246161616</c:v>
                </c:pt>
                <c:pt idx="82">
                  <c:v>3.1780538303479458</c:v>
                </c:pt>
                <c:pt idx="83">
                  <c:v>3.7612001156935624</c:v>
                </c:pt>
                <c:pt idx="84">
                  <c:v>3.8286413964890951</c:v>
                </c:pt>
                <c:pt idx="85">
                  <c:v>3.6109179126442243</c:v>
                </c:pt>
                <c:pt idx="86">
                  <c:v>3.5553480614894135</c:v>
                </c:pt>
                <c:pt idx="87">
                  <c:v>3.3322045101752038</c:v>
                </c:pt>
                <c:pt idx="88">
                  <c:v>3.0910424533583161</c:v>
                </c:pt>
                <c:pt idx="89">
                  <c:v>3.5553480614894135</c:v>
                </c:pt>
              </c:numCache>
            </c:numRef>
          </c:xVal>
          <c:yVal>
            <c:numRef>
              <c:f>help_logarithmic_xz!$C$25:$C$114</c:f>
              <c:numCache>
                <c:formatCode>0.000</c:formatCode>
                <c:ptCount val="90"/>
                <c:pt idx="0">
                  <c:v>-1.6141272002678475</c:v>
                </c:pt>
                <c:pt idx="1">
                  <c:v>-0.36968771355015662</c:v>
                </c:pt>
                <c:pt idx="2">
                  <c:v>-4.4132411584283817</c:v>
                </c:pt>
                <c:pt idx="3">
                  <c:v>4.5480047737737657</c:v>
                </c:pt>
                <c:pt idx="4">
                  <c:v>3.4564708993070195</c:v>
                </c:pt>
                <c:pt idx="5">
                  <c:v>-0.54352910069298055</c:v>
                </c:pt>
                <c:pt idx="6">
                  <c:v>-0.51853865512085306</c:v>
                </c:pt>
                <c:pt idx="7">
                  <c:v>0.54800477377376566</c:v>
                </c:pt>
                <c:pt idx="8">
                  <c:v>-4.4950637399054116</c:v>
                </c:pt>
                <c:pt idx="9">
                  <c:v>1.5049362600945884</c:v>
                </c:pt>
                <c:pt idx="10">
                  <c:v>-3.4225721523920392</c:v>
                </c:pt>
                <c:pt idx="11">
                  <c:v>0.5376783614937235</c:v>
                </c:pt>
                <c:pt idx="12">
                  <c:v>-1.4419370630125696</c:v>
                </c:pt>
                <c:pt idx="13">
                  <c:v>2.5270689988818864</c:v>
                </c:pt>
                <c:pt idx="14">
                  <c:v>-4.4950637399054116</c:v>
                </c:pt>
                <c:pt idx="15">
                  <c:v>4.4433436248199598</c:v>
                </c:pt>
                <c:pt idx="16">
                  <c:v>2.4691676929139099</c:v>
                </c:pt>
                <c:pt idx="17">
                  <c:v>0.57742784760796084</c:v>
                </c:pt>
                <c:pt idx="18">
                  <c:v>0.18807217271808696</c:v>
                </c:pt>
                <c:pt idx="19">
                  <c:v>4.4156734625887895</c:v>
                </c:pt>
                <c:pt idx="20">
                  <c:v>6.62198470717526</c:v>
                </c:pt>
                <c:pt idx="21">
                  <c:v>-4.4950637399054116</c:v>
                </c:pt>
                <c:pt idx="22">
                  <c:v>2.5580629369874304</c:v>
                </c:pt>
                <c:pt idx="23">
                  <c:v>-3.3535513157386498</c:v>
                </c:pt>
                <c:pt idx="24">
                  <c:v>-0.66362652031284242</c:v>
                </c:pt>
                <c:pt idx="25">
                  <c:v>3.6384645351749825</c:v>
                </c:pt>
                <c:pt idx="26">
                  <c:v>3.4564708993070195</c:v>
                </c:pt>
                <c:pt idx="27">
                  <c:v>-2.5566563751800402</c:v>
                </c:pt>
                <c:pt idx="28">
                  <c:v>-3.5566563751800402</c:v>
                </c:pt>
                <c:pt idx="29">
                  <c:v>3.5480047737737657</c:v>
                </c:pt>
                <c:pt idx="30">
                  <c:v>-2.4623216385062765</c:v>
                </c:pt>
                <c:pt idx="31">
                  <c:v>-3.3088227030029413</c:v>
                </c:pt>
                <c:pt idx="32">
                  <c:v>-1.4519952262262343</c:v>
                </c:pt>
                <c:pt idx="33">
                  <c:v>3.4156734625887895</c:v>
                </c:pt>
                <c:pt idx="34">
                  <c:v>0.60477220627609007</c:v>
                </c:pt>
                <c:pt idx="35">
                  <c:v>2.6384645351749825</c:v>
                </c:pt>
                <c:pt idx="36">
                  <c:v>-0.48383925800324867</c:v>
                </c:pt>
                <c:pt idx="37">
                  <c:v>-4.4838392580032487</c:v>
                </c:pt>
                <c:pt idx="38">
                  <c:v>1.4297556512757819</c:v>
                </c:pt>
                <c:pt idx="39">
                  <c:v>-1.4419370630125696</c:v>
                </c:pt>
                <c:pt idx="40">
                  <c:v>3.5480047737737657</c:v>
                </c:pt>
                <c:pt idx="41">
                  <c:v>1.5161607419967513</c:v>
                </c:pt>
                <c:pt idx="42">
                  <c:v>-4.4321335643998836</c:v>
                </c:pt>
                <c:pt idx="43">
                  <c:v>-4.3952277937239099</c:v>
                </c:pt>
                <c:pt idx="44">
                  <c:v>-3.5435291006929805</c:v>
                </c:pt>
                <c:pt idx="45">
                  <c:v>-4.4041297377690665</c:v>
                </c:pt>
                <c:pt idx="46">
                  <c:v>-4.4041297377690665</c:v>
                </c:pt>
                <c:pt idx="47">
                  <c:v>-1.5843265374112105</c:v>
                </c:pt>
                <c:pt idx="48">
                  <c:v>6.6464486842613502</c:v>
                </c:pt>
                <c:pt idx="49">
                  <c:v>7.5161607419967513</c:v>
                </c:pt>
                <c:pt idx="50">
                  <c:v>-4.4729310011181136</c:v>
                </c:pt>
                <c:pt idx="51">
                  <c:v>3.188072172718087</c:v>
                </c:pt>
                <c:pt idx="52">
                  <c:v>-0.50662333001700688</c:v>
                </c:pt>
                <c:pt idx="53">
                  <c:v>-1.5843265374112105</c:v>
                </c:pt>
                <c:pt idx="54">
                  <c:v>2.5958702622309335</c:v>
                </c:pt>
                <c:pt idx="55">
                  <c:v>-1.3696877135501566</c:v>
                </c:pt>
                <c:pt idx="56">
                  <c:v>-0.50662333001700688</c:v>
                </c:pt>
                <c:pt idx="57">
                  <c:v>-3.5702443487242181</c:v>
                </c:pt>
                <c:pt idx="58">
                  <c:v>0.57742784760796084</c:v>
                </c:pt>
                <c:pt idx="59">
                  <c:v>4.718361615360438</c:v>
                </c:pt>
                <c:pt idx="60">
                  <c:v>0.35358598058632751</c:v>
                </c:pt>
                <c:pt idx="61">
                  <c:v>1.5580629369874304</c:v>
                </c:pt>
                <c:pt idx="62">
                  <c:v>2.5376783614937235</c:v>
                </c:pt>
                <c:pt idx="63">
                  <c:v>3.6464486842613502</c:v>
                </c:pt>
                <c:pt idx="64">
                  <c:v>-1.5989402533084061</c:v>
                </c:pt>
                <c:pt idx="65">
                  <c:v>2.2994677090111839</c:v>
                </c:pt>
                <c:pt idx="66">
                  <c:v>-3.3615354648250175</c:v>
                </c:pt>
                <c:pt idx="67">
                  <c:v>-4.5185386551208531</c:v>
                </c:pt>
                <c:pt idx="68">
                  <c:v>-2.3305415267194727</c:v>
                </c:pt>
                <c:pt idx="69">
                  <c:v>4.5958702622309335</c:v>
                </c:pt>
                <c:pt idx="70">
                  <c:v>3.6464486842613502</c:v>
                </c:pt>
                <c:pt idx="71">
                  <c:v>-1.4419370630125696</c:v>
                </c:pt>
                <c:pt idx="72">
                  <c:v>2.5867588415716183</c:v>
                </c:pt>
                <c:pt idx="73">
                  <c:v>0.5376783614937235</c:v>
                </c:pt>
                <c:pt idx="74">
                  <c:v>1.4564708993070195</c:v>
                </c:pt>
                <c:pt idx="75">
                  <c:v>1.4156734625887895</c:v>
                </c:pt>
                <c:pt idx="76">
                  <c:v>0.25867027229295392</c:v>
                </c:pt>
                <c:pt idx="77">
                  <c:v>-1.4132411584283817</c:v>
                </c:pt>
                <c:pt idx="78">
                  <c:v>-2.62993419141395</c:v>
                </c:pt>
                <c:pt idx="79">
                  <c:v>-4.5308323070860901</c:v>
                </c:pt>
                <c:pt idx="80">
                  <c:v>0.41567346258878946</c:v>
                </c:pt>
                <c:pt idx="81">
                  <c:v>-0.49506373990541164</c:v>
                </c:pt>
                <c:pt idx="82">
                  <c:v>0.37006580858604998</c:v>
                </c:pt>
                <c:pt idx="83">
                  <c:v>0.59587026223093353</c:v>
                </c:pt>
                <c:pt idx="84">
                  <c:v>1.62198470717526</c:v>
                </c:pt>
                <c:pt idx="85">
                  <c:v>-2.4623216385062765</c:v>
                </c:pt>
                <c:pt idx="86">
                  <c:v>-0.48383925800324867</c:v>
                </c:pt>
                <c:pt idx="87">
                  <c:v>-1.5702443487242181</c:v>
                </c:pt>
                <c:pt idx="88">
                  <c:v>4.3363734796871576</c:v>
                </c:pt>
                <c:pt idx="89">
                  <c:v>-4.4838392580032487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99-4DEF-947B-594DE5BE6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316448"/>
        <c:axId val="1845303008"/>
      </c:scatterChart>
      <c:valAx>
        <c:axId val="184531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ln(X)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low"/>
        <c:crossAx val="1845303008"/>
        <c:crosses val="autoZero"/>
        <c:crossBetween val="midCat"/>
      </c:valAx>
      <c:valAx>
        <c:axId val="184530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8453164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 (линейная модель)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Корреляционное поле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forward val="10"/>
            <c:backward val="10"/>
            <c:dispRSqr val="0"/>
            <c:dispEq val="0"/>
          </c:trendline>
          <c:xVal>
            <c:numRef>
              <c:f>linear_yz!$A$2:$A$91</c:f>
              <c:numCache>
                <c:formatCode>General</c:formatCode>
                <c:ptCount val="90"/>
                <c:pt idx="0">
                  <c:v>233</c:v>
                </c:pt>
                <c:pt idx="1">
                  <c:v>432</c:v>
                </c:pt>
                <c:pt idx="2">
                  <c:v>385</c:v>
                </c:pt>
                <c:pt idx="3">
                  <c:v>347</c:v>
                </c:pt>
                <c:pt idx="4">
                  <c:v>274</c:v>
                </c:pt>
                <c:pt idx="5">
                  <c:v>276</c:v>
                </c:pt>
                <c:pt idx="6">
                  <c:v>294</c:v>
                </c:pt>
                <c:pt idx="7">
                  <c:v>348</c:v>
                </c:pt>
                <c:pt idx="8">
                  <c:v>315</c:v>
                </c:pt>
                <c:pt idx="9">
                  <c:v>307</c:v>
                </c:pt>
                <c:pt idx="10">
                  <c:v>377</c:v>
                </c:pt>
                <c:pt idx="11">
                  <c:v>338</c:v>
                </c:pt>
                <c:pt idx="12">
                  <c:v>353</c:v>
                </c:pt>
                <c:pt idx="13">
                  <c:v>332</c:v>
                </c:pt>
                <c:pt idx="14">
                  <c:v>307</c:v>
                </c:pt>
                <c:pt idx="15">
                  <c:v>264</c:v>
                </c:pt>
                <c:pt idx="16">
                  <c:v>285</c:v>
                </c:pt>
                <c:pt idx="17">
                  <c:v>377</c:v>
                </c:pt>
                <c:pt idx="18">
                  <c:v>137</c:v>
                </c:pt>
                <c:pt idx="19">
                  <c:v>245</c:v>
                </c:pt>
                <c:pt idx="20">
                  <c:v>421</c:v>
                </c:pt>
                <c:pt idx="21">
                  <c:v>313</c:v>
                </c:pt>
                <c:pt idx="22">
                  <c:v>359</c:v>
                </c:pt>
                <c:pt idx="23">
                  <c:v>443</c:v>
                </c:pt>
                <c:pt idx="24">
                  <c:v>201</c:v>
                </c:pt>
                <c:pt idx="25">
                  <c:v>440</c:v>
                </c:pt>
                <c:pt idx="26">
                  <c:v>274</c:v>
                </c:pt>
                <c:pt idx="27">
                  <c:v>261</c:v>
                </c:pt>
                <c:pt idx="28">
                  <c:v>270</c:v>
                </c:pt>
                <c:pt idx="29">
                  <c:v>345</c:v>
                </c:pt>
                <c:pt idx="30">
                  <c:v>334</c:v>
                </c:pt>
                <c:pt idx="31">
                  <c:v>498</c:v>
                </c:pt>
                <c:pt idx="32">
                  <c:v>342</c:v>
                </c:pt>
                <c:pt idx="33">
                  <c:v>250</c:v>
                </c:pt>
                <c:pt idx="34">
                  <c:v>403</c:v>
                </c:pt>
                <c:pt idx="35">
                  <c:v>434</c:v>
                </c:pt>
                <c:pt idx="36">
                  <c:v>320</c:v>
                </c:pt>
                <c:pt idx="37">
                  <c:v>318</c:v>
                </c:pt>
                <c:pt idx="38">
                  <c:v>256</c:v>
                </c:pt>
                <c:pt idx="39">
                  <c:v>358</c:v>
                </c:pt>
                <c:pt idx="40">
                  <c:v>347</c:v>
                </c:pt>
                <c:pt idx="41">
                  <c:v>318</c:v>
                </c:pt>
                <c:pt idx="42">
                  <c:v>369</c:v>
                </c:pt>
                <c:pt idx="43">
                  <c:v>400</c:v>
                </c:pt>
                <c:pt idx="44">
                  <c:v>277</c:v>
                </c:pt>
                <c:pt idx="45">
                  <c:v>395</c:v>
                </c:pt>
                <c:pt idx="46">
                  <c:v>392</c:v>
                </c:pt>
                <c:pt idx="47">
                  <c:v>245</c:v>
                </c:pt>
                <c:pt idx="48">
                  <c:v>445</c:v>
                </c:pt>
                <c:pt idx="49">
                  <c:v>323</c:v>
                </c:pt>
                <c:pt idx="50">
                  <c:v>331</c:v>
                </c:pt>
                <c:pt idx="51">
                  <c:v>140</c:v>
                </c:pt>
                <c:pt idx="52">
                  <c:v>303</c:v>
                </c:pt>
                <c:pt idx="53">
                  <c:v>247</c:v>
                </c:pt>
                <c:pt idx="54">
                  <c:v>387</c:v>
                </c:pt>
                <c:pt idx="55">
                  <c:v>426</c:v>
                </c:pt>
                <c:pt idx="56">
                  <c:v>304</c:v>
                </c:pt>
                <c:pt idx="57">
                  <c:v>257</c:v>
                </c:pt>
                <c:pt idx="58">
                  <c:v>377</c:v>
                </c:pt>
                <c:pt idx="59">
                  <c:v>535</c:v>
                </c:pt>
                <c:pt idx="60">
                  <c:v>208</c:v>
                </c:pt>
                <c:pt idx="61">
                  <c:v>357</c:v>
                </c:pt>
                <c:pt idx="62">
                  <c:v>337</c:v>
                </c:pt>
                <c:pt idx="63">
                  <c:v>447</c:v>
                </c:pt>
                <c:pt idx="64">
                  <c:v>238</c:v>
                </c:pt>
                <c:pt idx="65">
                  <c:v>182</c:v>
                </c:pt>
                <c:pt idx="66">
                  <c:v>437</c:v>
                </c:pt>
                <c:pt idx="67">
                  <c:v>292</c:v>
                </c:pt>
                <c:pt idx="68">
                  <c:v>473</c:v>
                </c:pt>
                <c:pt idx="69">
                  <c:v>392</c:v>
                </c:pt>
                <c:pt idx="70">
                  <c:v>442</c:v>
                </c:pt>
                <c:pt idx="71">
                  <c:v>356</c:v>
                </c:pt>
                <c:pt idx="72">
                  <c:v>386</c:v>
                </c:pt>
                <c:pt idx="73">
                  <c:v>338</c:v>
                </c:pt>
                <c:pt idx="74">
                  <c:v>277</c:v>
                </c:pt>
                <c:pt idx="75">
                  <c:v>247</c:v>
                </c:pt>
                <c:pt idx="76">
                  <c:v>170</c:v>
                </c:pt>
                <c:pt idx="77">
                  <c:v>380</c:v>
                </c:pt>
                <c:pt idx="78">
                  <c:v>221</c:v>
                </c:pt>
                <c:pt idx="79">
                  <c:v>287</c:v>
                </c:pt>
                <c:pt idx="80">
                  <c:v>244</c:v>
                </c:pt>
                <c:pt idx="81">
                  <c:v>313</c:v>
                </c:pt>
                <c:pt idx="82">
                  <c:v>219</c:v>
                </c:pt>
                <c:pt idx="83">
                  <c:v>392</c:v>
                </c:pt>
                <c:pt idx="84">
                  <c:v>415</c:v>
                </c:pt>
                <c:pt idx="85">
                  <c:v>341</c:v>
                </c:pt>
                <c:pt idx="86">
                  <c:v>321</c:v>
                </c:pt>
                <c:pt idx="87">
                  <c:v>255</c:v>
                </c:pt>
                <c:pt idx="88">
                  <c:v>206</c:v>
                </c:pt>
                <c:pt idx="89">
                  <c:v>324</c:v>
                </c:pt>
              </c:numCache>
            </c:numRef>
          </c:xVal>
          <c:yVal>
            <c:numRef>
              <c:f>linear_yz!$B$2:$B$91</c:f>
              <c:numCache>
                <c:formatCode>General</c:formatCode>
                <c:ptCount val="90"/>
                <c:pt idx="0">
                  <c:v>-7</c:v>
                </c:pt>
                <c:pt idx="1">
                  <c:v>-6</c:v>
                </c:pt>
                <c:pt idx="2">
                  <c:v>-10</c:v>
                </c:pt>
                <c:pt idx="3">
                  <c:v>-1</c:v>
                </c:pt>
                <c:pt idx="4">
                  <c:v>-2</c:v>
                </c:pt>
                <c:pt idx="5">
                  <c:v>-6</c:v>
                </c:pt>
                <c:pt idx="6">
                  <c:v>-6</c:v>
                </c:pt>
                <c:pt idx="7">
                  <c:v>-5</c:v>
                </c:pt>
                <c:pt idx="8">
                  <c:v>-10</c:v>
                </c:pt>
                <c:pt idx="9">
                  <c:v>-4</c:v>
                </c:pt>
                <c:pt idx="10">
                  <c:v>-9</c:v>
                </c:pt>
                <c:pt idx="11">
                  <c:v>-5</c:v>
                </c:pt>
                <c:pt idx="12">
                  <c:v>-7</c:v>
                </c:pt>
                <c:pt idx="13">
                  <c:v>-3</c:v>
                </c:pt>
                <c:pt idx="14">
                  <c:v>-10</c:v>
                </c:pt>
                <c:pt idx="15">
                  <c:v>-1</c:v>
                </c:pt>
                <c:pt idx="16">
                  <c:v>-3</c:v>
                </c:pt>
                <c:pt idx="17">
                  <c:v>-5</c:v>
                </c:pt>
                <c:pt idx="18">
                  <c:v>-5</c:v>
                </c:pt>
                <c:pt idx="19">
                  <c:v>-1</c:v>
                </c:pt>
                <c:pt idx="20">
                  <c:v>1</c:v>
                </c:pt>
                <c:pt idx="21">
                  <c:v>-10</c:v>
                </c:pt>
                <c:pt idx="22">
                  <c:v>-3</c:v>
                </c:pt>
                <c:pt idx="23">
                  <c:v>-9</c:v>
                </c:pt>
                <c:pt idx="24">
                  <c:v>-6</c:v>
                </c:pt>
                <c:pt idx="25">
                  <c:v>-2</c:v>
                </c:pt>
                <c:pt idx="26">
                  <c:v>-2</c:v>
                </c:pt>
                <c:pt idx="27">
                  <c:v>-8</c:v>
                </c:pt>
                <c:pt idx="28">
                  <c:v>-9</c:v>
                </c:pt>
                <c:pt idx="29">
                  <c:v>-2</c:v>
                </c:pt>
                <c:pt idx="30">
                  <c:v>-8</c:v>
                </c:pt>
                <c:pt idx="31">
                  <c:v>-9</c:v>
                </c:pt>
                <c:pt idx="32">
                  <c:v>-7</c:v>
                </c:pt>
                <c:pt idx="33">
                  <c:v>-2</c:v>
                </c:pt>
                <c:pt idx="34">
                  <c:v>-5</c:v>
                </c:pt>
                <c:pt idx="35">
                  <c:v>-3</c:v>
                </c:pt>
                <c:pt idx="36">
                  <c:v>-6</c:v>
                </c:pt>
                <c:pt idx="37">
                  <c:v>-10</c:v>
                </c:pt>
                <c:pt idx="38">
                  <c:v>-4</c:v>
                </c:pt>
                <c:pt idx="39">
                  <c:v>-7</c:v>
                </c:pt>
                <c:pt idx="40">
                  <c:v>-2</c:v>
                </c:pt>
                <c:pt idx="41">
                  <c:v>-4</c:v>
                </c:pt>
                <c:pt idx="42">
                  <c:v>-10</c:v>
                </c:pt>
                <c:pt idx="43">
                  <c:v>-10</c:v>
                </c:pt>
                <c:pt idx="44">
                  <c:v>-9</c:v>
                </c:pt>
                <c:pt idx="45">
                  <c:v>-10</c:v>
                </c:pt>
                <c:pt idx="46">
                  <c:v>-10</c:v>
                </c:pt>
                <c:pt idx="47">
                  <c:v>-7</c:v>
                </c:pt>
                <c:pt idx="48">
                  <c:v>1</c:v>
                </c:pt>
                <c:pt idx="49">
                  <c:v>2</c:v>
                </c:pt>
                <c:pt idx="50">
                  <c:v>-10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-3</c:v>
                </c:pt>
                <c:pt idx="55">
                  <c:v>-7</c:v>
                </c:pt>
                <c:pt idx="56">
                  <c:v>-6</c:v>
                </c:pt>
                <c:pt idx="57">
                  <c:v>-9</c:v>
                </c:pt>
                <c:pt idx="58">
                  <c:v>-5</c:v>
                </c:pt>
                <c:pt idx="59">
                  <c:v>-1</c:v>
                </c:pt>
                <c:pt idx="60">
                  <c:v>-5</c:v>
                </c:pt>
                <c:pt idx="61">
                  <c:v>-4</c:v>
                </c:pt>
                <c:pt idx="62">
                  <c:v>-3</c:v>
                </c:pt>
                <c:pt idx="63">
                  <c:v>-2</c:v>
                </c:pt>
                <c:pt idx="64">
                  <c:v>-7</c:v>
                </c:pt>
                <c:pt idx="65">
                  <c:v>-3</c:v>
                </c:pt>
                <c:pt idx="66">
                  <c:v>-9</c:v>
                </c:pt>
                <c:pt idx="67">
                  <c:v>-10</c:v>
                </c:pt>
                <c:pt idx="68">
                  <c:v>-8</c:v>
                </c:pt>
                <c:pt idx="69">
                  <c:v>-1</c:v>
                </c:pt>
                <c:pt idx="70">
                  <c:v>-2</c:v>
                </c:pt>
                <c:pt idx="71">
                  <c:v>-7</c:v>
                </c:pt>
                <c:pt idx="72">
                  <c:v>-3</c:v>
                </c:pt>
                <c:pt idx="73">
                  <c:v>-5</c:v>
                </c:pt>
                <c:pt idx="74">
                  <c:v>-4</c:v>
                </c:pt>
                <c:pt idx="75">
                  <c:v>-4</c:v>
                </c:pt>
                <c:pt idx="76">
                  <c:v>-5</c:v>
                </c:pt>
                <c:pt idx="77">
                  <c:v>-7</c:v>
                </c:pt>
                <c:pt idx="78">
                  <c:v>-8</c:v>
                </c:pt>
                <c:pt idx="79">
                  <c:v>-10</c:v>
                </c:pt>
                <c:pt idx="80">
                  <c:v>-5</c:v>
                </c:pt>
                <c:pt idx="81">
                  <c:v>-6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-8</c:v>
                </c:pt>
                <c:pt idx="86">
                  <c:v>-6</c:v>
                </c:pt>
                <c:pt idx="87">
                  <c:v>-7</c:v>
                </c:pt>
                <c:pt idx="88">
                  <c:v>-1</c:v>
                </c:pt>
                <c:pt idx="8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F-47CE-A0CF-2D5C2314C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176016"/>
        <c:axId val="1835177936"/>
      </c:scatterChart>
      <c:valAx>
        <c:axId val="1835176016"/>
        <c:scaling>
          <c:orientation val="minMax"/>
          <c:max val="5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</a:t>
                </a:r>
                <a:r>
                  <a:rPr lang="ru-RU"/>
                  <a:t>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177936"/>
        <c:crosses val="autoZero"/>
        <c:crossBetween val="midCat"/>
      </c:valAx>
      <c:valAx>
        <c:axId val="18351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Z-</a:t>
                </a:r>
                <a:r>
                  <a:rPr lang="ru-RU"/>
                  <a:t>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17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n-US"/>
              <a:t>Y </a:t>
            </a:r>
            <a:r>
              <a:rPr lang="ru-RU"/>
              <a:t>от </a:t>
            </a:r>
            <a:r>
              <a:rPr lang="en-US"/>
              <a:t>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Зависимсоть Y от 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linear_xz!$A$2:$A$91</c:f>
              <c:numCache>
                <c:formatCode>General</c:formatCode>
                <c:ptCount val="90"/>
                <c:pt idx="0">
                  <c:v>25</c:v>
                </c:pt>
                <c:pt idx="1">
                  <c:v>47</c:v>
                </c:pt>
                <c:pt idx="2">
                  <c:v>42</c:v>
                </c:pt>
                <c:pt idx="3">
                  <c:v>38</c:v>
                </c:pt>
                <c:pt idx="4">
                  <c:v>30</c:v>
                </c:pt>
                <c:pt idx="5">
                  <c:v>30</c:v>
                </c:pt>
                <c:pt idx="6">
                  <c:v>32</c:v>
                </c:pt>
                <c:pt idx="7">
                  <c:v>38</c:v>
                </c:pt>
                <c:pt idx="8">
                  <c:v>34</c:v>
                </c:pt>
                <c:pt idx="9">
                  <c:v>34</c:v>
                </c:pt>
                <c:pt idx="10">
                  <c:v>41</c:v>
                </c:pt>
                <c:pt idx="11">
                  <c:v>37</c:v>
                </c:pt>
                <c:pt idx="12">
                  <c:v>39</c:v>
                </c:pt>
                <c:pt idx="13">
                  <c:v>36</c:v>
                </c:pt>
                <c:pt idx="14">
                  <c:v>34</c:v>
                </c:pt>
                <c:pt idx="15">
                  <c:v>29</c:v>
                </c:pt>
                <c:pt idx="16">
                  <c:v>31</c:v>
                </c:pt>
                <c:pt idx="17">
                  <c:v>41</c:v>
                </c:pt>
                <c:pt idx="18">
                  <c:v>15</c:v>
                </c:pt>
                <c:pt idx="19">
                  <c:v>27</c:v>
                </c:pt>
                <c:pt idx="20">
                  <c:v>46</c:v>
                </c:pt>
                <c:pt idx="21">
                  <c:v>34</c:v>
                </c:pt>
                <c:pt idx="22">
                  <c:v>39</c:v>
                </c:pt>
                <c:pt idx="23">
                  <c:v>49</c:v>
                </c:pt>
                <c:pt idx="24">
                  <c:v>22</c:v>
                </c:pt>
                <c:pt idx="25">
                  <c:v>48</c:v>
                </c:pt>
                <c:pt idx="26">
                  <c:v>30</c:v>
                </c:pt>
                <c:pt idx="27">
                  <c:v>29</c:v>
                </c:pt>
                <c:pt idx="28">
                  <c:v>29</c:v>
                </c:pt>
                <c:pt idx="29">
                  <c:v>38</c:v>
                </c:pt>
                <c:pt idx="30">
                  <c:v>37</c:v>
                </c:pt>
                <c:pt idx="31">
                  <c:v>55</c:v>
                </c:pt>
                <c:pt idx="32">
                  <c:v>38</c:v>
                </c:pt>
                <c:pt idx="33">
                  <c:v>27</c:v>
                </c:pt>
                <c:pt idx="34">
                  <c:v>44</c:v>
                </c:pt>
                <c:pt idx="35">
                  <c:v>48</c:v>
                </c:pt>
                <c:pt idx="36">
                  <c:v>35</c:v>
                </c:pt>
                <c:pt idx="37">
                  <c:v>35</c:v>
                </c:pt>
                <c:pt idx="38">
                  <c:v>28</c:v>
                </c:pt>
                <c:pt idx="39">
                  <c:v>39</c:v>
                </c:pt>
                <c:pt idx="40">
                  <c:v>38</c:v>
                </c:pt>
                <c:pt idx="41">
                  <c:v>35</c:v>
                </c:pt>
                <c:pt idx="42">
                  <c:v>40</c:v>
                </c:pt>
                <c:pt idx="43">
                  <c:v>44</c:v>
                </c:pt>
                <c:pt idx="44">
                  <c:v>30</c:v>
                </c:pt>
                <c:pt idx="45">
                  <c:v>43</c:v>
                </c:pt>
                <c:pt idx="46">
                  <c:v>43</c:v>
                </c:pt>
                <c:pt idx="47">
                  <c:v>27</c:v>
                </c:pt>
                <c:pt idx="48">
                  <c:v>49</c:v>
                </c:pt>
                <c:pt idx="49">
                  <c:v>35</c:v>
                </c:pt>
                <c:pt idx="50">
                  <c:v>36</c:v>
                </c:pt>
                <c:pt idx="51">
                  <c:v>15</c:v>
                </c:pt>
                <c:pt idx="52">
                  <c:v>33</c:v>
                </c:pt>
                <c:pt idx="53">
                  <c:v>27</c:v>
                </c:pt>
                <c:pt idx="54">
                  <c:v>43</c:v>
                </c:pt>
                <c:pt idx="55">
                  <c:v>47</c:v>
                </c:pt>
                <c:pt idx="56">
                  <c:v>33</c:v>
                </c:pt>
                <c:pt idx="57">
                  <c:v>28</c:v>
                </c:pt>
                <c:pt idx="58">
                  <c:v>41</c:v>
                </c:pt>
                <c:pt idx="59">
                  <c:v>59</c:v>
                </c:pt>
                <c:pt idx="60">
                  <c:v>23</c:v>
                </c:pt>
                <c:pt idx="61">
                  <c:v>39</c:v>
                </c:pt>
                <c:pt idx="62">
                  <c:v>37</c:v>
                </c:pt>
                <c:pt idx="63">
                  <c:v>49</c:v>
                </c:pt>
                <c:pt idx="64">
                  <c:v>26</c:v>
                </c:pt>
                <c:pt idx="65">
                  <c:v>20</c:v>
                </c:pt>
                <c:pt idx="66">
                  <c:v>48</c:v>
                </c:pt>
                <c:pt idx="67">
                  <c:v>32</c:v>
                </c:pt>
                <c:pt idx="68">
                  <c:v>52</c:v>
                </c:pt>
                <c:pt idx="69">
                  <c:v>43</c:v>
                </c:pt>
                <c:pt idx="70">
                  <c:v>49</c:v>
                </c:pt>
                <c:pt idx="71">
                  <c:v>39</c:v>
                </c:pt>
                <c:pt idx="72">
                  <c:v>42</c:v>
                </c:pt>
                <c:pt idx="73">
                  <c:v>37</c:v>
                </c:pt>
                <c:pt idx="74">
                  <c:v>30</c:v>
                </c:pt>
                <c:pt idx="75">
                  <c:v>27</c:v>
                </c:pt>
                <c:pt idx="76">
                  <c:v>18</c:v>
                </c:pt>
                <c:pt idx="77">
                  <c:v>42</c:v>
                </c:pt>
                <c:pt idx="78">
                  <c:v>24</c:v>
                </c:pt>
                <c:pt idx="79">
                  <c:v>31</c:v>
                </c:pt>
                <c:pt idx="80">
                  <c:v>27</c:v>
                </c:pt>
                <c:pt idx="81">
                  <c:v>34</c:v>
                </c:pt>
                <c:pt idx="82">
                  <c:v>24</c:v>
                </c:pt>
                <c:pt idx="83">
                  <c:v>43</c:v>
                </c:pt>
                <c:pt idx="84">
                  <c:v>46</c:v>
                </c:pt>
                <c:pt idx="85">
                  <c:v>37</c:v>
                </c:pt>
                <c:pt idx="86">
                  <c:v>35</c:v>
                </c:pt>
                <c:pt idx="87">
                  <c:v>28</c:v>
                </c:pt>
                <c:pt idx="88">
                  <c:v>22</c:v>
                </c:pt>
                <c:pt idx="89">
                  <c:v>35</c:v>
                </c:pt>
              </c:numCache>
            </c:numRef>
          </c:xVal>
          <c:yVal>
            <c:numRef>
              <c:f>linear_yz!$A$2:$A$91</c:f>
              <c:numCache>
                <c:formatCode>General</c:formatCode>
                <c:ptCount val="90"/>
                <c:pt idx="0">
                  <c:v>233</c:v>
                </c:pt>
                <c:pt idx="1">
                  <c:v>432</c:v>
                </c:pt>
                <c:pt idx="2">
                  <c:v>385</c:v>
                </c:pt>
                <c:pt idx="3">
                  <c:v>347</c:v>
                </c:pt>
                <c:pt idx="4">
                  <c:v>274</c:v>
                </c:pt>
                <c:pt idx="5">
                  <c:v>276</c:v>
                </c:pt>
                <c:pt idx="6">
                  <c:v>294</c:v>
                </c:pt>
                <c:pt idx="7">
                  <c:v>348</c:v>
                </c:pt>
                <c:pt idx="8">
                  <c:v>315</c:v>
                </c:pt>
                <c:pt idx="9">
                  <c:v>307</c:v>
                </c:pt>
                <c:pt idx="10">
                  <c:v>377</c:v>
                </c:pt>
                <c:pt idx="11">
                  <c:v>338</c:v>
                </c:pt>
                <c:pt idx="12">
                  <c:v>353</c:v>
                </c:pt>
                <c:pt idx="13">
                  <c:v>332</c:v>
                </c:pt>
                <c:pt idx="14">
                  <c:v>307</c:v>
                </c:pt>
                <c:pt idx="15">
                  <c:v>264</c:v>
                </c:pt>
                <c:pt idx="16">
                  <c:v>285</c:v>
                </c:pt>
                <c:pt idx="17">
                  <c:v>377</c:v>
                </c:pt>
                <c:pt idx="18">
                  <c:v>137</c:v>
                </c:pt>
                <c:pt idx="19">
                  <c:v>245</c:v>
                </c:pt>
                <c:pt idx="20">
                  <c:v>421</c:v>
                </c:pt>
                <c:pt idx="21">
                  <c:v>313</c:v>
                </c:pt>
                <c:pt idx="22">
                  <c:v>359</c:v>
                </c:pt>
                <c:pt idx="23">
                  <c:v>443</c:v>
                </c:pt>
                <c:pt idx="24">
                  <c:v>201</c:v>
                </c:pt>
                <c:pt idx="25">
                  <c:v>440</c:v>
                </c:pt>
                <c:pt idx="26">
                  <c:v>274</c:v>
                </c:pt>
                <c:pt idx="27">
                  <c:v>261</c:v>
                </c:pt>
                <c:pt idx="28">
                  <c:v>270</c:v>
                </c:pt>
                <c:pt idx="29">
                  <c:v>345</c:v>
                </c:pt>
                <c:pt idx="30">
                  <c:v>334</c:v>
                </c:pt>
                <c:pt idx="31">
                  <c:v>498</c:v>
                </c:pt>
                <c:pt idx="32">
                  <c:v>342</c:v>
                </c:pt>
                <c:pt idx="33">
                  <c:v>250</c:v>
                </c:pt>
                <c:pt idx="34">
                  <c:v>403</c:v>
                </c:pt>
                <c:pt idx="35">
                  <c:v>434</c:v>
                </c:pt>
                <c:pt idx="36">
                  <c:v>320</c:v>
                </c:pt>
                <c:pt idx="37">
                  <c:v>318</c:v>
                </c:pt>
                <c:pt idx="38">
                  <c:v>256</c:v>
                </c:pt>
                <c:pt idx="39">
                  <c:v>358</c:v>
                </c:pt>
                <c:pt idx="40">
                  <c:v>347</c:v>
                </c:pt>
                <c:pt idx="41">
                  <c:v>318</c:v>
                </c:pt>
                <c:pt idx="42">
                  <c:v>369</c:v>
                </c:pt>
                <c:pt idx="43">
                  <c:v>400</c:v>
                </c:pt>
                <c:pt idx="44">
                  <c:v>277</c:v>
                </c:pt>
                <c:pt idx="45">
                  <c:v>395</c:v>
                </c:pt>
                <c:pt idx="46">
                  <c:v>392</c:v>
                </c:pt>
                <c:pt idx="47">
                  <c:v>245</c:v>
                </c:pt>
                <c:pt idx="48">
                  <c:v>445</c:v>
                </c:pt>
                <c:pt idx="49">
                  <c:v>323</c:v>
                </c:pt>
                <c:pt idx="50">
                  <c:v>331</c:v>
                </c:pt>
                <c:pt idx="51">
                  <c:v>140</c:v>
                </c:pt>
                <c:pt idx="52">
                  <c:v>303</c:v>
                </c:pt>
                <c:pt idx="53">
                  <c:v>247</c:v>
                </c:pt>
                <c:pt idx="54">
                  <c:v>387</c:v>
                </c:pt>
                <c:pt idx="55">
                  <c:v>426</c:v>
                </c:pt>
                <c:pt idx="56">
                  <c:v>304</c:v>
                </c:pt>
                <c:pt idx="57">
                  <c:v>257</c:v>
                </c:pt>
                <c:pt idx="58">
                  <c:v>377</c:v>
                </c:pt>
                <c:pt idx="59">
                  <c:v>535</c:v>
                </c:pt>
                <c:pt idx="60">
                  <c:v>208</c:v>
                </c:pt>
                <c:pt idx="61">
                  <c:v>357</c:v>
                </c:pt>
                <c:pt idx="62">
                  <c:v>337</c:v>
                </c:pt>
                <c:pt idx="63">
                  <c:v>447</c:v>
                </c:pt>
                <c:pt idx="64">
                  <c:v>238</c:v>
                </c:pt>
                <c:pt idx="65">
                  <c:v>182</c:v>
                </c:pt>
                <c:pt idx="66">
                  <c:v>437</c:v>
                </c:pt>
                <c:pt idx="67">
                  <c:v>292</c:v>
                </c:pt>
                <c:pt idx="68">
                  <c:v>473</c:v>
                </c:pt>
                <c:pt idx="69">
                  <c:v>392</c:v>
                </c:pt>
                <c:pt idx="70">
                  <c:v>442</c:v>
                </c:pt>
                <c:pt idx="71">
                  <c:v>356</c:v>
                </c:pt>
                <c:pt idx="72">
                  <c:v>386</c:v>
                </c:pt>
                <c:pt idx="73">
                  <c:v>338</c:v>
                </c:pt>
                <c:pt idx="74">
                  <c:v>277</c:v>
                </c:pt>
                <c:pt idx="75">
                  <c:v>247</c:v>
                </c:pt>
                <c:pt idx="76">
                  <c:v>170</c:v>
                </c:pt>
                <c:pt idx="77">
                  <c:v>380</c:v>
                </c:pt>
                <c:pt idx="78">
                  <c:v>221</c:v>
                </c:pt>
                <c:pt idx="79">
                  <c:v>287</c:v>
                </c:pt>
                <c:pt idx="80">
                  <c:v>244</c:v>
                </c:pt>
                <c:pt idx="81">
                  <c:v>313</c:v>
                </c:pt>
                <c:pt idx="82">
                  <c:v>219</c:v>
                </c:pt>
                <c:pt idx="83">
                  <c:v>392</c:v>
                </c:pt>
                <c:pt idx="84">
                  <c:v>415</c:v>
                </c:pt>
                <c:pt idx="85">
                  <c:v>341</c:v>
                </c:pt>
                <c:pt idx="86">
                  <c:v>321</c:v>
                </c:pt>
                <c:pt idx="87">
                  <c:v>255</c:v>
                </c:pt>
                <c:pt idx="88">
                  <c:v>206</c:v>
                </c:pt>
                <c:pt idx="89">
                  <c:v>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4-4F4B-803F-D1BC4BE41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83456"/>
        <c:axId val="185482976"/>
      </c:scatterChart>
      <c:valAx>
        <c:axId val="18548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</a:t>
                </a:r>
                <a:r>
                  <a:rPr lang="ru-RU"/>
                  <a:t>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82976"/>
        <c:crosses val="autoZero"/>
        <c:crossBetween val="midCat"/>
      </c:valAx>
      <c:valAx>
        <c:axId val="1854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48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linear_yz!$A$2:$A$91</c:f>
              <c:numCache>
                <c:formatCode>General</c:formatCode>
                <c:ptCount val="90"/>
                <c:pt idx="0">
                  <c:v>233</c:v>
                </c:pt>
                <c:pt idx="1">
                  <c:v>432</c:v>
                </c:pt>
                <c:pt idx="2">
                  <c:v>385</c:v>
                </c:pt>
                <c:pt idx="3">
                  <c:v>347</c:v>
                </c:pt>
                <c:pt idx="4">
                  <c:v>274</c:v>
                </c:pt>
                <c:pt idx="5">
                  <c:v>276</c:v>
                </c:pt>
                <c:pt idx="6">
                  <c:v>294</c:v>
                </c:pt>
                <c:pt idx="7">
                  <c:v>348</c:v>
                </c:pt>
                <c:pt idx="8">
                  <c:v>315</c:v>
                </c:pt>
                <c:pt idx="9">
                  <c:v>307</c:v>
                </c:pt>
                <c:pt idx="10">
                  <c:v>377</c:v>
                </c:pt>
                <c:pt idx="11">
                  <c:v>338</c:v>
                </c:pt>
                <c:pt idx="12">
                  <c:v>353</c:v>
                </c:pt>
                <c:pt idx="13">
                  <c:v>332</c:v>
                </c:pt>
                <c:pt idx="14">
                  <c:v>307</c:v>
                </c:pt>
                <c:pt idx="15">
                  <c:v>264</c:v>
                </c:pt>
                <c:pt idx="16">
                  <c:v>285</c:v>
                </c:pt>
                <c:pt idx="17">
                  <c:v>377</c:v>
                </c:pt>
                <c:pt idx="18">
                  <c:v>137</c:v>
                </c:pt>
                <c:pt idx="19">
                  <c:v>245</c:v>
                </c:pt>
                <c:pt idx="20">
                  <c:v>421</c:v>
                </c:pt>
                <c:pt idx="21">
                  <c:v>313</c:v>
                </c:pt>
                <c:pt idx="22">
                  <c:v>359</c:v>
                </c:pt>
                <c:pt idx="23">
                  <c:v>443</c:v>
                </c:pt>
                <c:pt idx="24">
                  <c:v>201</c:v>
                </c:pt>
                <c:pt idx="25">
                  <c:v>440</c:v>
                </c:pt>
                <c:pt idx="26">
                  <c:v>274</c:v>
                </c:pt>
                <c:pt idx="27">
                  <c:v>261</c:v>
                </c:pt>
                <c:pt idx="28">
                  <c:v>270</c:v>
                </c:pt>
                <c:pt idx="29">
                  <c:v>345</c:v>
                </c:pt>
                <c:pt idx="30">
                  <c:v>334</c:v>
                </c:pt>
                <c:pt idx="31">
                  <c:v>498</c:v>
                </c:pt>
                <c:pt idx="32">
                  <c:v>342</c:v>
                </c:pt>
                <c:pt idx="33">
                  <c:v>250</c:v>
                </c:pt>
                <c:pt idx="34">
                  <c:v>403</c:v>
                </c:pt>
                <c:pt idx="35">
                  <c:v>434</c:v>
                </c:pt>
                <c:pt idx="36">
                  <c:v>320</c:v>
                </c:pt>
                <c:pt idx="37">
                  <c:v>318</c:v>
                </c:pt>
                <c:pt idx="38">
                  <c:v>256</c:v>
                </c:pt>
                <c:pt idx="39">
                  <c:v>358</c:v>
                </c:pt>
                <c:pt idx="40">
                  <c:v>347</c:v>
                </c:pt>
                <c:pt idx="41">
                  <c:v>318</c:v>
                </c:pt>
                <c:pt idx="42">
                  <c:v>369</c:v>
                </c:pt>
                <c:pt idx="43">
                  <c:v>400</c:v>
                </c:pt>
                <c:pt idx="44">
                  <c:v>277</c:v>
                </c:pt>
                <c:pt idx="45">
                  <c:v>395</c:v>
                </c:pt>
                <c:pt idx="46">
                  <c:v>392</c:v>
                </c:pt>
                <c:pt idx="47">
                  <c:v>245</c:v>
                </c:pt>
                <c:pt idx="48">
                  <c:v>445</c:v>
                </c:pt>
                <c:pt idx="49">
                  <c:v>323</c:v>
                </c:pt>
                <c:pt idx="50">
                  <c:v>331</c:v>
                </c:pt>
                <c:pt idx="51">
                  <c:v>140</c:v>
                </c:pt>
                <c:pt idx="52">
                  <c:v>303</c:v>
                </c:pt>
                <c:pt idx="53">
                  <c:v>247</c:v>
                </c:pt>
                <c:pt idx="54">
                  <c:v>387</c:v>
                </c:pt>
                <c:pt idx="55">
                  <c:v>426</c:v>
                </c:pt>
                <c:pt idx="56">
                  <c:v>304</c:v>
                </c:pt>
                <c:pt idx="57">
                  <c:v>257</c:v>
                </c:pt>
                <c:pt idx="58">
                  <c:v>377</c:v>
                </c:pt>
                <c:pt idx="59">
                  <c:v>535</c:v>
                </c:pt>
                <c:pt idx="60">
                  <c:v>208</c:v>
                </c:pt>
                <c:pt idx="61">
                  <c:v>357</c:v>
                </c:pt>
                <c:pt idx="62">
                  <c:v>337</c:v>
                </c:pt>
                <c:pt idx="63">
                  <c:v>447</c:v>
                </c:pt>
                <c:pt idx="64">
                  <c:v>238</c:v>
                </c:pt>
                <c:pt idx="65">
                  <c:v>182</c:v>
                </c:pt>
                <c:pt idx="66">
                  <c:v>437</c:v>
                </c:pt>
                <c:pt idx="67">
                  <c:v>292</c:v>
                </c:pt>
                <c:pt idx="68">
                  <c:v>473</c:v>
                </c:pt>
                <c:pt idx="69">
                  <c:v>392</c:v>
                </c:pt>
                <c:pt idx="70">
                  <c:v>442</c:v>
                </c:pt>
                <c:pt idx="71">
                  <c:v>356</c:v>
                </c:pt>
                <c:pt idx="72">
                  <c:v>386</c:v>
                </c:pt>
                <c:pt idx="73">
                  <c:v>338</c:v>
                </c:pt>
                <c:pt idx="74">
                  <c:v>277</c:v>
                </c:pt>
                <c:pt idx="75">
                  <c:v>247</c:v>
                </c:pt>
                <c:pt idx="76">
                  <c:v>170</c:v>
                </c:pt>
                <c:pt idx="77">
                  <c:v>380</c:v>
                </c:pt>
                <c:pt idx="78">
                  <c:v>221</c:v>
                </c:pt>
                <c:pt idx="79">
                  <c:v>287</c:v>
                </c:pt>
                <c:pt idx="80">
                  <c:v>244</c:v>
                </c:pt>
                <c:pt idx="81">
                  <c:v>313</c:v>
                </c:pt>
                <c:pt idx="82">
                  <c:v>219</c:v>
                </c:pt>
                <c:pt idx="83">
                  <c:v>392</c:v>
                </c:pt>
                <c:pt idx="84">
                  <c:v>415</c:v>
                </c:pt>
                <c:pt idx="85">
                  <c:v>341</c:v>
                </c:pt>
                <c:pt idx="86">
                  <c:v>321</c:v>
                </c:pt>
                <c:pt idx="87">
                  <c:v>255</c:v>
                </c:pt>
                <c:pt idx="88">
                  <c:v>206</c:v>
                </c:pt>
                <c:pt idx="89">
                  <c:v>324</c:v>
                </c:pt>
              </c:numCache>
            </c:numRef>
          </c:xVal>
          <c:yVal>
            <c:numRef>
              <c:f>help_linear_yz!$C$25:$C$114</c:f>
              <c:numCache>
                <c:formatCode>0.000</c:formatCode>
                <c:ptCount val="90"/>
                <c:pt idx="0">
                  <c:v>-1.4902108051966909</c:v>
                </c:pt>
                <c:pt idx="1">
                  <c:v>-0.48739597686798586</c:v>
                </c:pt>
                <c:pt idx="2">
                  <c:v>-4.4880607855687353</c:v>
                </c:pt>
                <c:pt idx="3">
                  <c:v>4.511401709524276</c:v>
                </c:pt>
                <c:pt idx="4">
                  <c:v>3.5103691343082177</c:v>
                </c:pt>
                <c:pt idx="5">
                  <c:v>-0.48960257595983503</c:v>
                </c:pt>
                <c:pt idx="6">
                  <c:v>-0.48934796837231431</c:v>
                </c:pt>
                <c:pt idx="7">
                  <c:v>0.51141585439024873</c:v>
                </c:pt>
                <c:pt idx="8">
                  <c:v>-4.4890509261868727</c:v>
                </c:pt>
                <c:pt idx="9">
                  <c:v>1.5108359148853401</c:v>
                </c:pt>
                <c:pt idx="10">
                  <c:v>-3.4881739444965225</c:v>
                </c:pt>
                <c:pt idx="11">
                  <c:v>0.51127440573051519</c:v>
                </c:pt>
                <c:pt idx="12">
                  <c:v>-1.4885134212798841</c:v>
                </c:pt>
                <c:pt idx="13">
                  <c:v>2.5111895365346744</c:v>
                </c:pt>
                <c:pt idx="14">
                  <c:v>-4.4891640851146599</c:v>
                </c:pt>
                <c:pt idx="15">
                  <c:v>4.5102276856484842</c:v>
                </c:pt>
                <c:pt idx="16">
                  <c:v>2.5105247278339258</c:v>
                </c:pt>
                <c:pt idx="17">
                  <c:v>0.51182605550347748</c:v>
                </c:pt>
                <c:pt idx="18">
                  <c:v>0.50843128766986379</c:v>
                </c:pt>
                <c:pt idx="19">
                  <c:v>4.5099589331949899</c:v>
                </c:pt>
                <c:pt idx="20">
                  <c:v>6.512448429606307</c:v>
                </c:pt>
                <c:pt idx="21">
                  <c:v>-4.48907921591882</c:v>
                </c:pt>
                <c:pt idx="22">
                  <c:v>2.5115714479159568</c:v>
                </c:pt>
                <c:pt idx="23">
                  <c:v>-3.4872403833422787</c:v>
                </c:pt>
                <c:pt idx="24">
                  <c:v>-0.49066344090783964</c:v>
                </c:pt>
                <c:pt idx="25">
                  <c:v>3.5127171820598013</c:v>
                </c:pt>
                <c:pt idx="26">
                  <c:v>3.5103691343082177</c:v>
                </c:pt>
                <c:pt idx="27">
                  <c:v>-2.4898147489494358</c:v>
                </c:pt>
                <c:pt idx="28">
                  <c:v>-3.4896874451556759</c:v>
                </c:pt>
                <c:pt idx="29">
                  <c:v>3.5113734197923288</c:v>
                </c:pt>
                <c:pt idx="30">
                  <c:v>-2.4887821737333784</c:v>
                </c:pt>
                <c:pt idx="31">
                  <c:v>-3.486462415713742</c:v>
                </c:pt>
                <c:pt idx="32">
                  <c:v>-1.4886690148055912</c:v>
                </c:pt>
                <c:pt idx="33">
                  <c:v>3.5100296575248571</c:v>
                </c:pt>
                <c:pt idx="34">
                  <c:v>0.51219382201878538</c:v>
                </c:pt>
                <c:pt idx="35">
                  <c:v>2.5126323128639605</c:v>
                </c:pt>
                <c:pt idx="36">
                  <c:v>-0.48898020185700553</c:v>
                </c:pt>
                <c:pt idx="37">
                  <c:v>-4.4890084915889528</c:v>
                </c:pt>
                <c:pt idx="38">
                  <c:v>1.510114526720697</c:v>
                </c:pt>
                <c:pt idx="39">
                  <c:v>-1.4884426969500169</c:v>
                </c:pt>
                <c:pt idx="40">
                  <c:v>3.511401709524276</c:v>
                </c:pt>
                <c:pt idx="41">
                  <c:v>1.5109915084110472</c:v>
                </c:pt>
                <c:pt idx="42">
                  <c:v>-4.4882871034243097</c:v>
                </c:pt>
                <c:pt idx="43">
                  <c:v>-4.4878486125791346</c:v>
                </c:pt>
                <c:pt idx="44">
                  <c:v>-3.4895884310938614</c:v>
                </c:pt>
                <c:pt idx="45">
                  <c:v>-4.4879193369090018</c:v>
                </c:pt>
                <c:pt idx="46">
                  <c:v>-4.4879617715069218</c:v>
                </c:pt>
                <c:pt idx="47">
                  <c:v>-1.4900410668050101</c:v>
                </c:pt>
                <c:pt idx="48">
                  <c:v>6.5127879063896676</c:v>
                </c:pt>
                <c:pt idx="49">
                  <c:v>7.5110622327409144</c:v>
                </c:pt>
                <c:pt idx="50">
                  <c:v>-4.4888246083312984</c:v>
                </c:pt>
                <c:pt idx="51">
                  <c:v>3.5084737222677838</c:v>
                </c:pt>
                <c:pt idx="52">
                  <c:v>-0.48922066457855351</c:v>
                </c:pt>
                <c:pt idx="53">
                  <c:v>-1.4900127770730638</c:v>
                </c:pt>
                <c:pt idx="54">
                  <c:v>2.511967504163211</c:v>
                </c:pt>
                <c:pt idx="55">
                  <c:v>-1.4874808460638267</c:v>
                </c:pt>
                <c:pt idx="56">
                  <c:v>-0.48920651971257989</c:v>
                </c:pt>
                <c:pt idx="57">
                  <c:v>-3.4898713284133294</c:v>
                </c:pt>
                <c:pt idx="58">
                  <c:v>0.51182605550347748</c:v>
                </c:pt>
                <c:pt idx="59">
                  <c:v>4.514060944327273</c:v>
                </c:pt>
                <c:pt idx="60">
                  <c:v>0.50943557315397392</c:v>
                </c:pt>
                <c:pt idx="61">
                  <c:v>1.5115431581840095</c:v>
                </c:pt>
                <c:pt idx="62">
                  <c:v>2.5112602608645416</c:v>
                </c:pt>
                <c:pt idx="63">
                  <c:v>3.5128161961216149</c:v>
                </c:pt>
                <c:pt idx="64">
                  <c:v>-1.4901400808668237</c:v>
                </c:pt>
                <c:pt idx="65">
                  <c:v>2.509067806638666</c:v>
                </c:pt>
                <c:pt idx="66">
                  <c:v>-3.4873252525381195</c:v>
                </c:pt>
                <c:pt idx="67">
                  <c:v>-4.4893762581042607</c:v>
                </c:pt>
                <c:pt idx="68">
                  <c:v>-2.4868160373630772</c:v>
                </c:pt>
                <c:pt idx="69">
                  <c:v>4.5120382284930782</c:v>
                </c:pt>
                <c:pt idx="70">
                  <c:v>3.5127454717917477</c:v>
                </c:pt>
                <c:pt idx="71">
                  <c:v>-1.4884709866819641</c:v>
                </c:pt>
                <c:pt idx="72">
                  <c:v>2.5119533592972383</c:v>
                </c:pt>
                <c:pt idx="73">
                  <c:v>0.51127440573051519</c:v>
                </c:pt>
                <c:pt idx="74">
                  <c:v>1.5104115689061386</c:v>
                </c:pt>
                <c:pt idx="75">
                  <c:v>1.5099872229269362</c:v>
                </c:pt>
                <c:pt idx="76">
                  <c:v>0.50889806824698525</c:v>
                </c:pt>
                <c:pt idx="77">
                  <c:v>-1.4881315098986025</c:v>
                </c:pt>
                <c:pt idx="78">
                  <c:v>-2.4903805435883717</c:v>
                </c:pt>
                <c:pt idx="79">
                  <c:v>-4.4894469824341279</c:v>
                </c:pt>
                <c:pt idx="80">
                  <c:v>0.50994478832901624</c:v>
                </c:pt>
                <c:pt idx="81">
                  <c:v>-0.48907921591881998</c:v>
                </c:pt>
                <c:pt idx="82">
                  <c:v>0.50959116667968196</c:v>
                </c:pt>
                <c:pt idx="83">
                  <c:v>0.51203822849307823</c:v>
                </c:pt>
                <c:pt idx="84">
                  <c:v>1.5123635604104662</c:v>
                </c:pt>
                <c:pt idx="85">
                  <c:v>-2.4886831596715648</c:v>
                </c:pt>
                <c:pt idx="86">
                  <c:v>-0.48896605699103279</c:v>
                </c:pt>
                <c:pt idx="87">
                  <c:v>-1.4898996181452766</c:v>
                </c:pt>
                <c:pt idx="88">
                  <c:v>4.5094072834220276</c:v>
                </c:pt>
                <c:pt idx="89">
                  <c:v>-4.4889236223931119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42-4B95-874E-B8866831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28128"/>
        <c:axId val="234349728"/>
      </c:scatterChart>
      <c:valAx>
        <c:axId val="23432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234349728"/>
        <c:crosses val="autoZero"/>
        <c:crossBetween val="midCat"/>
      </c:valAx>
      <c:valAx>
        <c:axId val="234349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2343281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 поле (гиперболическая модель)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Корреляционное поле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exponential_yz!$B$2:$B$91</c:f>
              <c:numCache>
                <c:formatCode>0.000</c:formatCode>
                <c:ptCount val="90"/>
                <c:pt idx="0">
                  <c:v>9.7295747089532758E-2</c:v>
                </c:pt>
                <c:pt idx="1">
                  <c:v>1.3299883542443767E-2</c:v>
                </c:pt>
                <c:pt idx="2">
                  <c:v>2.1279736438377168E-2</c:v>
                </c:pt>
                <c:pt idx="3">
                  <c:v>3.1117030661060859E-2</c:v>
                </c:pt>
                <c:pt idx="4">
                  <c:v>6.457034689316847E-2</c:v>
                </c:pt>
                <c:pt idx="5">
                  <c:v>6.3291768359640704E-2</c:v>
                </c:pt>
                <c:pt idx="6">
                  <c:v>5.2865728738350368E-2</c:v>
                </c:pt>
                <c:pt idx="7">
                  <c:v>3.0807411032751076E-2</c:v>
                </c:pt>
                <c:pt idx="8">
                  <c:v>4.2852126867040187E-2</c:v>
                </c:pt>
                <c:pt idx="9">
                  <c:v>4.642115485743125E-2</c:v>
                </c:pt>
                <c:pt idx="10">
                  <c:v>2.3052063287225571E-2</c:v>
                </c:pt>
                <c:pt idx="11">
                  <c:v>3.4047454734599344E-2</c:v>
                </c:pt>
                <c:pt idx="12">
                  <c:v>2.9304915867040746E-2</c:v>
                </c:pt>
                <c:pt idx="13">
                  <c:v>3.6152831754046412E-2</c:v>
                </c:pt>
                <c:pt idx="14">
                  <c:v>4.642115485743125E-2</c:v>
                </c:pt>
                <c:pt idx="15">
                  <c:v>7.1361269556386053E-2</c:v>
                </c:pt>
                <c:pt idx="16">
                  <c:v>5.7844320874838456E-2</c:v>
                </c:pt>
                <c:pt idx="17">
                  <c:v>2.3052063287225571E-2</c:v>
                </c:pt>
                <c:pt idx="18">
                  <c:v>0.25410695955280027</c:v>
                </c:pt>
                <c:pt idx="19">
                  <c:v>8.6293586499370495E-2</c:v>
                </c:pt>
                <c:pt idx="20">
                  <c:v>1.4846368338086832E-2</c:v>
                </c:pt>
                <c:pt idx="21">
                  <c:v>4.3717797252750941E-2</c:v>
                </c:pt>
                <c:pt idx="22">
                  <c:v>2.7598330423249287E-2</c:v>
                </c:pt>
                <c:pt idx="23">
                  <c:v>1.1914489672789647E-2</c:v>
                </c:pt>
                <c:pt idx="24">
                  <c:v>0.13398867466880493</c:v>
                </c:pt>
                <c:pt idx="25">
                  <c:v>1.2277339903068436E-2</c:v>
                </c:pt>
                <c:pt idx="26">
                  <c:v>6.457034689316847E-2</c:v>
                </c:pt>
                <c:pt idx="27">
                  <c:v>7.3534543763057097E-2</c:v>
                </c:pt>
                <c:pt idx="28">
                  <c:v>6.7205512739749756E-2</c:v>
                </c:pt>
                <c:pt idx="29">
                  <c:v>3.1745636378067939E-2</c:v>
                </c:pt>
                <c:pt idx="30">
                  <c:v>3.543695772159864E-2</c:v>
                </c:pt>
                <c:pt idx="31">
                  <c:v>6.8740625574962482E-3</c:v>
                </c:pt>
                <c:pt idx="32">
                  <c:v>3.2712434939019819E-2</c:v>
                </c:pt>
                <c:pt idx="33">
                  <c:v>8.20849986238988E-2</c:v>
                </c:pt>
                <c:pt idx="34">
                  <c:v>1.7774329953659442E-2</c:v>
                </c:pt>
                <c:pt idx="35">
                  <c:v>1.3036528203437736E-2</c:v>
                </c:pt>
                <c:pt idx="36">
                  <c:v>4.0762203978366211E-2</c:v>
                </c:pt>
                <c:pt idx="37">
                  <c:v>4.1585655121173161E-2</c:v>
                </c:pt>
                <c:pt idx="38">
                  <c:v>7.7304740443299741E-2</c:v>
                </c:pt>
                <c:pt idx="39">
                  <c:v>2.7875698255247015E-2</c:v>
                </c:pt>
                <c:pt idx="40">
                  <c:v>3.1117030661060859E-2</c:v>
                </c:pt>
                <c:pt idx="41">
                  <c:v>4.1585655121173161E-2</c:v>
                </c:pt>
                <c:pt idx="42">
                  <c:v>2.4972002042276155E-2</c:v>
                </c:pt>
                <c:pt idx="43">
                  <c:v>1.8315638888734179E-2</c:v>
                </c:pt>
                <c:pt idx="44">
                  <c:v>6.2662004742153152E-2</c:v>
                </c:pt>
                <c:pt idx="45">
                  <c:v>1.925470177538692E-2</c:v>
                </c:pt>
                <c:pt idx="46">
                  <c:v>1.9841094744370288E-2</c:v>
                </c:pt>
                <c:pt idx="47">
                  <c:v>8.6293586499370495E-2</c:v>
                </c:pt>
                <c:pt idx="48">
                  <c:v>1.1678566970395442E-2</c:v>
                </c:pt>
                <c:pt idx="49">
                  <c:v>3.9557498788398725E-2</c:v>
                </c:pt>
                <c:pt idx="50">
                  <c:v>3.6516173753740402E-2</c:v>
                </c:pt>
                <c:pt idx="51">
                  <c:v>0.24659696394160643</c:v>
                </c:pt>
                <c:pt idx="52">
                  <c:v>4.8315638126067768E-2</c:v>
                </c:pt>
                <c:pt idx="53">
                  <c:v>8.4584859001564691E-2</c:v>
                </c:pt>
                <c:pt idx="54">
                  <c:v>2.0858369425214716E-2</c:v>
                </c:pt>
                <c:pt idx="55">
                  <c:v>1.4122302410163962E-2</c:v>
                </c:pt>
                <c:pt idx="56">
                  <c:v>4.7834889494198368E-2</c:v>
                </c:pt>
                <c:pt idx="57">
                  <c:v>7.6535545423911513E-2</c:v>
                </c:pt>
                <c:pt idx="58">
                  <c:v>2.3052063287225571E-2</c:v>
                </c:pt>
                <c:pt idx="59">
                  <c:v>4.7481509994114733E-3</c:v>
                </c:pt>
                <c:pt idx="60">
                  <c:v>0.12493021219858241</c:v>
                </c:pt>
                <c:pt idx="61">
                  <c:v>2.8155853680300096E-2</c:v>
                </c:pt>
                <c:pt idx="62">
                  <c:v>3.4389637343472709E-2</c:v>
                </c:pt>
                <c:pt idx="63">
                  <c:v>1.1447315850505711E-2</c:v>
                </c:pt>
                <c:pt idx="64">
                  <c:v>9.255057751034329E-2</c:v>
                </c:pt>
                <c:pt idx="65">
                  <c:v>0.16202575093388075</c:v>
                </c:pt>
                <c:pt idx="66">
                  <c:v>1.2651240568005305E-2</c:v>
                </c:pt>
                <c:pt idx="67">
                  <c:v>5.3933687300356019E-2</c:v>
                </c:pt>
                <c:pt idx="68">
                  <c:v>8.8264710397267226E-3</c:v>
                </c:pt>
                <c:pt idx="69">
                  <c:v>1.9841094744370288E-2</c:v>
                </c:pt>
                <c:pt idx="70">
                  <c:v>1.2034232284723775E-2</c:v>
                </c:pt>
                <c:pt idx="71">
                  <c:v>2.8438824714184505E-2</c:v>
                </c:pt>
                <c:pt idx="72">
                  <c:v>2.1067999523041434E-2</c:v>
                </c:pt>
                <c:pt idx="73">
                  <c:v>3.4047454734599344E-2</c:v>
                </c:pt>
                <c:pt idx="74">
                  <c:v>6.2662004742153152E-2</c:v>
                </c:pt>
                <c:pt idx="75">
                  <c:v>8.4584859001564691E-2</c:v>
                </c:pt>
                <c:pt idx="76">
                  <c:v>0.18268352405273466</c:v>
                </c:pt>
                <c:pt idx="77">
                  <c:v>2.2370771856165591E-2</c:v>
                </c:pt>
                <c:pt idx="78">
                  <c:v>0.10970064851551141</c:v>
                </c:pt>
                <c:pt idx="79">
                  <c:v>5.6698926579846903E-2</c:v>
                </c:pt>
                <c:pt idx="80">
                  <c:v>8.7160851461981298E-2</c:v>
                </c:pt>
                <c:pt idx="81">
                  <c:v>4.3717797252750941E-2</c:v>
                </c:pt>
                <c:pt idx="82">
                  <c:v>0.11191674861732888</c:v>
                </c:pt>
                <c:pt idx="83">
                  <c:v>1.9841094744370288E-2</c:v>
                </c:pt>
                <c:pt idx="84">
                  <c:v>1.5764416484854486E-2</c:v>
                </c:pt>
                <c:pt idx="85">
                  <c:v>3.3041200375886932E-2</c:v>
                </c:pt>
                <c:pt idx="86">
                  <c:v>4.0356613272031147E-2</c:v>
                </c:pt>
                <c:pt idx="87">
                  <c:v>7.8081666001153127E-2</c:v>
                </c:pt>
                <c:pt idx="88">
                  <c:v>0.12745396989482075</c:v>
                </c:pt>
                <c:pt idx="89">
                  <c:v>3.9163895098987066E-2</c:v>
                </c:pt>
              </c:numCache>
            </c:numRef>
          </c:xVal>
          <c:yVal>
            <c:numRef>
              <c:f>exponential_yz!$C$2:$C$91</c:f>
              <c:numCache>
                <c:formatCode>General</c:formatCode>
                <c:ptCount val="90"/>
                <c:pt idx="0">
                  <c:v>-7</c:v>
                </c:pt>
                <c:pt idx="1">
                  <c:v>-6</c:v>
                </c:pt>
                <c:pt idx="2">
                  <c:v>-10</c:v>
                </c:pt>
                <c:pt idx="3">
                  <c:v>-1</c:v>
                </c:pt>
                <c:pt idx="4">
                  <c:v>-2</c:v>
                </c:pt>
                <c:pt idx="5">
                  <c:v>-6</c:v>
                </c:pt>
                <c:pt idx="6">
                  <c:v>-6</c:v>
                </c:pt>
                <c:pt idx="7">
                  <c:v>-5</c:v>
                </c:pt>
                <c:pt idx="8">
                  <c:v>-10</c:v>
                </c:pt>
                <c:pt idx="9">
                  <c:v>-4</c:v>
                </c:pt>
                <c:pt idx="10">
                  <c:v>-9</c:v>
                </c:pt>
                <c:pt idx="11">
                  <c:v>-5</c:v>
                </c:pt>
                <c:pt idx="12">
                  <c:v>-7</c:v>
                </c:pt>
                <c:pt idx="13">
                  <c:v>-3</c:v>
                </c:pt>
                <c:pt idx="14">
                  <c:v>-10</c:v>
                </c:pt>
                <c:pt idx="15">
                  <c:v>-1</c:v>
                </c:pt>
                <c:pt idx="16">
                  <c:v>-3</c:v>
                </c:pt>
                <c:pt idx="17">
                  <c:v>-5</c:v>
                </c:pt>
                <c:pt idx="18">
                  <c:v>-5</c:v>
                </c:pt>
                <c:pt idx="19">
                  <c:v>-1</c:v>
                </c:pt>
                <c:pt idx="20">
                  <c:v>1</c:v>
                </c:pt>
                <c:pt idx="21">
                  <c:v>-10</c:v>
                </c:pt>
                <c:pt idx="22">
                  <c:v>-3</c:v>
                </c:pt>
                <c:pt idx="23">
                  <c:v>-9</c:v>
                </c:pt>
                <c:pt idx="24">
                  <c:v>-6</c:v>
                </c:pt>
                <c:pt idx="25">
                  <c:v>-2</c:v>
                </c:pt>
                <c:pt idx="26">
                  <c:v>-2</c:v>
                </c:pt>
                <c:pt idx="27">
                  <c:v>-8</c:v>
                </c:pt>
                <c:pt idx="28">
                  <c:v>-9</c:v>
                </c:pt>
                <c:pt idx="29">
                  <c:v>-2</c:v>
                </c:pt>
                <c:pt idx="30">
                  <c:v>-8</c:v>
                </c:pt>
                <c:pt idx="31">
                  <c:v>-9</c:v>
                </c:pt>
                <c:pt idx="32">
                  <c:v>-7</c:v>
                </c:pt>
                <c:pt idx="33">
                  <c:v>-2</c:v>
                </c:pt>
                <c:pt idx="34">
                  <c:v>-5</c:v>
                </c:pt>
                <c:pt idx="35">
                  <c:v>-3</c:v>
                </c:pt>
                <c:pt idx="36">
                  <c:v>-6</c:v>
                </c:pt>
                <c:pt idx="37">
                  <c:v>-10</c:v>
                </c:pt>
                <c:pt idx="38">
                  <c:v>-4</c:v>
                </c:pt>
                <c:pt idx="39">
                  <c:v>-7</c:v>
                </c:pt>
                <c:pt idx="40">
                  <c:v>-2</c:v>
                </c:pt>
                <c:pt idx="41">
                  <c:v>-4</c:v>
                </c:pt>
                <c:pt idx="42">
                  <c:v>-10</c:v>
                </c:pt>
                <c:pt idx="43">
                  <c:v>-10</c:v>
                </c:pt>
                <c:pt idx="44">
                  <c:v>-9</c:v>
                </c:pt>
                <c:pt idx="45">
                  <c:v>-10</c:v>
                </c:pt>
                <c:pt idx="46">
                  <c:v>-10</c:v>
                </c:pt>
                <c:pt idx="47">
                  <c:v>-7</c:v>
                </c:pt>
                <c:pt idx="48">
                  <c:v>1</c:v>
                </c:pt>
                <c:pt idx="49">
                  <c:v>2</c:v>
                </c:pt>
                <c:pt idx="50">
                  <c:v>-10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-3</c:v>
                </c:pt>
                <c:pt idx="55">
                  <c:v>-7</c:v>
                </c:pt>
                <c:pt idx="56">
                  <c:v>-6</c:v>
                </c:pt>
                <c:pt idx="57">
                  <c:v>-9</c:v>
                </c:pt>
                <c:pt idx="58">
                  <c:v>-5</c:v>
                </c:pt>
                <c:pt idx="59">
                  <c:v>-1</c:v>
                </c:pt>
                <c:pt idx="60">
                  <c:v>-5</c:v>
                </c:pt>
                <c:pt idx="61">
                  <c:v>-4</c:v>
                </c:pt>
                <c:pt idx="62">
                  <c:v>-3</c:v>
                </c:pt>
                <c:pt idx="63">
                  <c:v>-2</c:v>
                </c:pt>
                <c:pt idx="64">
                  <c:v>-7</c:v>
                </c:pt>
                <c:pt idx="65">
                  <c:v>-3</c:v>
                </c:pt>
                <c:pt idx="66">
                  <c:v>-9</c:v>
                </c:pt>
                <c:pt idx="67">
                  <c:v>-10</c:v>
                </c:pt>
                <c:pt idx="68">
                  <c:v>-8</c:v>
                </c:pt>
                <c:pt idx="69">
                  <c:v>-1</c:v>
                </c:pt>
                <c:pt idx="70">
                  <c:v>-2</c:v>
                </c:pt>
                <c:pt idx="71">
                  <c:v>-7</c:v>
                </c:pt>
                <c:pt idx="72">
                  <c:v>-3</c:v>
                </c:pt>
                <c:pt idx="73">
                  <c:v>-5</c:v>
                </c:pt>
                <c:pt idx="74">
                  <c:v>-4</c:v>
                </c:pt>
                <c:pt idx="75">
                  <c:v>-4</c:v>
                </c:pt>
                <c:pt idx="76">
                  <c:v>-5</c:v>
                </c:pt>
                <c:pt idx="77">
                  <c:v>-7</c:v>
                </c:pt>
                <c:pt idx="78">
                  <c:v>-8</c:v>
                </c:pt>
                <c:pt idx="79">
                  <c:v>-10</c:v>
                </c:pt>
                <c:pt idx="80">
                  <c:v>-5</c:v>
                </c:pt>
                <c:pt idx="81">
                  <c:v>-6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-8</c:v>
                </c:pt>
                <c:pt idx="86">
                  <c:v>-6</c:v>
                </c:pt>
                <c:pt idx="87">
                  <c:v>-7</c:v>
                </c:pt>
                <c:pt idx="88">
                  <c:v>-1</c:v>
                </c:pt>
                <c:pt idx="8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C-45A3-B253-CE14CD7B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462512"/>
        <c:axId val="1826466352"/>
      </c:scatterChart>
      <c:valAx>
        <c:axId val="18264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exp(-0.01Y)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466352"/>
        <c:crosses val="autoZero"/>
        <c:crossBetween val="midCat"/>
      </c:valAx>
      <c:valAx>
        <c:axId val="18264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46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exp(-0.01Y)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exponential_yz!$B$2:$B$91</c:f>
              <c:numCache>
                <c:formatCode>0.000</c:formatCode>
                <c:ptCount val="90"/>
                <c:pt idx="0">
                  <c:v>9.7295747089532758E-2</c:v>
                </c:pt>
                <c:pt idx="1">
                  <c:v>1.3299883542443767E-2</c:v>
                </c:pt>
                <c:pt idx="2">
                  <c:v>2.1279736438377168E-2</c:v>
                </c:pt>
                <c:pt idx="3">
                  <c:v>3.1117030661060859E-2</c:v>
                </c:pt>
                <c:pt idx="4">
                  <c:v>6.457034689316847E-2</c:v>
                </c:pt>
                <c:pt idx="5">
                  <c:v>6.3291768359640704E-2</c:v>
                </c:pt>
                <c:pt idx="6">
                  <c:v>5.2865728738350368E-2</c:v>
                </c:pt>
                <c:pt idx="7">
                  <c:v>3.0807411032751076E-2</c:v>
                </c:pt>
                <c:pt idx="8">
                  <c:v>4.2852126867040187E-2</c:v>
                </c:pt>
                <c:pt idx="9">
                  <c:v>4.642115485743125E-2</c:v>
                </c:pt>
                <c:pt idx="10">
                  <c:v>2.3052063287225571E-2</c:v>
                </c:pt>
                <c:pt idx="11">
                  <c:v>3.4047454734599344E-2</c:v>
                </c:pt>
                <c:pt idx="12">
                  <c:v>2.9304915867040746E-2</c:v>
                </c:pt>
                <c:pt idx="13">
                  <c:v>3.6152831754046412E-2</c:v>
                </c:pt>
                <c:pt idx="14">
                  <c:v>4.642115485743125E-2</c:v>
                </c:pt>
                <c:pt idx="15">
                  <c:v>7.1361269556386053E-2</c:v>
                </c:pt>
                <c:pt idx="16">
                  <c:v>5.7844320874838456E-2</c:v>
                </c:pt>
                <c:pt idx="17">
                  <c:v>2.3052063287225571E-2</c:v>
                </c:pt>
                <c:pt idx="18">
                  <c:v>0.25410695955280027</c:v>
                </c:pt>
                <c:pt idx="19">
                  <c:v>8.6293586499370495E-2</c:v>
                </c:pt>
                <c:pt idx="20">
                  <c:v>1.4846368338086832E-2</c:v>
                </c:pt>
                <c:pt idx="21">
                  <c:v>4.3717797252750941E-2</c:v>
                </c:pt>
                <c:pt idx="22">
                  <c:v>2.7598330423249287E-2</c:v>
                </c:pt>
                <c:pt idx="23">
                  <c:v>1.1914489672789647E-2</c:v>
                </c:pt>
                <c:pt idx="24">
                  <c:v>0.13398867466880493</c:v>
                </c:pt>
                <c:pt idx="25">
                  <c:v>1.2277339903068436E-2</c:v>
                </c:pt>
                <c:pt idx="26">
                  <c:v>6.457034689316847E-2</c:v>
                </c:pt>
                <c:pt idx="27">
                  <c:v>7.3534543763057097E-2</c:v>
                </c:pt>
                <c:pt idx="28">
                  <c:v>6.7205512739749756E-2</c:v>
                </c:pt>
                <c:pt idx="29">
                  <c:v>3.1745636378067939E-2</c:v>
                </c:pt>
                <c:pt idx="30">
                  <c:v>3.543695772159864E-2</c:v>
                </c:pt>
                <c:pt idx="31">
                  <c:v>6.8740625574962482E-3</c:v>
                </c:pt>
                <c:pt idx="32">
                  <c:v>3.2712434939019819E-2</c:v>
                </c:pt>
                <c:pt idx="33">
                  <c:v>8.20849986238988E-2</c:v>
                </c:pt>
                <c:pt idx="34">
                  <c:v>1.7774329953659442E-2</c:v>
                </c:pt>
                <c:pt idx="35">
                  <c:v>1.3036528203437736E-2</c:v>
                </c:pt>
                <c:pt idx="36">
                  <c:v>4.0762203978366211E-2</c:v>
                </c:pt>
                <c:pt idx="37">
                  <c:v>4.1585655121173161E-2</c:v>
                </c:pt>
                <c:pt idx="38">
                  <c:v>7.7304740443299741E-2</c:v>
                </c:pt>
                <c:pt idx="39">
                  <c:v>2.7875698255247015E-2</c:v>
                </c:pt>
                <c:pt idx="40">
                  <c:v>3.1117030661060859E-2</c:v>
                </c:pt>
                <c:pt idx="41">
                  <c:v>4.1585655121173161E-2</c:v>
                </c:pt>
                <c:pt idx="42">
                  <c:v>2.4972002042276155E-2</c:v>
                </c:pt>
                <c:pt idx="43">
                  <c:v>1.8315638888734179E-2</c:v>
                </c:pt>
                <c:pt idx="44">
                  <c:v>6.2662004742153152E-2</c:v>
                </c:pt>
                <c:pt idx="45">
                  <c:v>1.925470177538692E-2</c:v>
                </c:pt>
                <c:pt idx="46">
                  <c:v>1.9841094744370288E-2</c:v>
                </c:pt>
                <c:pt idx="47">
                  <c:v>8.6293586499370495E-2</c:v>
                </c:pt>
                <c:pt idx="48">
                  <c:v>1.1678566970395442E-2</c:v>
                </c:pt>
                <c:pt idx="49">
                  <c:v>3.9557498788398725E-2</c:v>
                </c:pt>
                <c:pt idx="50">
                  <c:v>3.6516173753740402E-2</c:v>
                </c:pt>
                <c:pt idx="51">
                  <c:v>0.24659696394160643</c:v>
                </c:pt>
                <c:pt idx="52">
                  <c:v>4.8315638126067768E-2</c:v>
                </c:pt>
                <c:pt idx="53">
                  <c:v>8.4584859001564691E-2</c:v>
                </c:pt>
                <c:pt idx="54">
                  <c:v>2.0858369425214716E-2</c:v>
                </c:pt>
                <c:pt idx="55">
                  <c:v>1.4122302410163962E-2</c:v>
                </c:pt>
                <c:pt idx="56">
                  <c:v>4.7834889494198368E-2</c:v>
                </c:pt>
                <c:pt idx="57">
                  <c:v>7.6535545423911513E-2</c:v>
                </c:pt>
                <c:pt idx="58">
                  <c:v>2.3052063287225571E-2</c:v>
                </c:pt>
                <c:pt idx="59">
                  <c:v>4.7481509994114733E-3</c:v>
                </c:pt>
                <c:pt idx="60">
                  <c:v>0.12493021219858241</c:v>
                </c:pt>
                <c:pt idx="61">
                  <c:v>2.8155853680300096E-2</c:v>
                </c:pt>
                <c:pt idx="62">
                  <c:v>3.4389637343472709E-2</c:v>
                </c:pt>
                <c:pt idx="63">
                  <c:v>1.1447315850505711E-2</c:v>
                </c:pt>
                <c:pt idx="64">
                  <c:v>9.255057751034329E-2</c:v>
                </c:pt>
                <c:pt idx="65">
                  <c:v>0.16202575093388075</c:v>
                </c:pt>
                <c:pt idx="66">
                  <c:v>1.2651240568005305E-2</c:v>
                </c:pt>
                <c:pt idx="67">
                  <c:v>5.3933687300356019E-2</c:v>
                </c:pt>
                <c:pt idx="68">
                  <c:v>8.8264710397267226E-3</c:v>
                </c:pt>
                <c:pt idx="69">
                  <c:v>1.9841094744370288E-2</c:v>
                </c:pt>
                <c:pt idx="70">
                  <c:v>1.2034232284723775E-2</c:v>
                </c:pt>
                <c:pt idx="71">
                  <c:v>2.8438824714184505E-2</c:v>
                </c:pt>
                <c:pt idx="72">
                  <c:v>2.1067999523041434E-2</c:v>
                </c:pt>
                <c:pt idx="73">
                  <c:v>3.4047454734599344E-2</c:v>
                </c:pt>
                <c:pt idx="74">
                  <c:v>6.2662004742153152E-2</c:v>
                </c:pt>
                <c:pt idx="75">
                  <c:v>8.4584859001564691E-2</c:v>
                </c:pt>
                <c:pt idx="76">
                  <c:v>0.18268352405273466</c:v>
                </c:pt>
                <c:pt idx="77">
                  <c:v>2.2370771856165591E-2</c:v>
                </c:pt>
                <c:pt idx="78">
                  <c:v>0.10970064851551141</c:v>
                </c:pt>
                <c:pt idx="79">
                  <c:v>5.6698926579846903E-2</c:v>
                </c:pt>
                <c:pt idx="80">
                  <c:v>8.7160851461981298E-2</c:v>
                </c:pt>
                <c:pt idx="81">
                  <c:v>4.3717797252750941E-2</c:v>
                </c:pt>
                <c:pt idx="82">
                  <c:v>0.11191674861732888</c:v>
                </c:pt>
                <c:pt idx="83">
                  <c:v>1.9841094744370288E-2</c:v>
                </c:pt>
                <c:pt idx="84">
                  <c:v>1.5764416484854486E-2</c:v>
                </c:pt>
                <c:pt idx="85">
                  <c:v>3.3041200375886932E-2</c:v>
                </c:pt>
                <c:pt idx="86">
                  <c:v>4.0356613272031147E-2</c:v>
                </c:pt>
                <c:pt idx="87">
                  <c:v>7.8081666001153127E-2</c:v>
                </c:pt>
                <c:pt idx="88">
                  <c:v>0.12745396989482075</c:v>
                </c:pt>
                <c:pt idx="89">
                  <c:v>3.9163895098987066E-2</c:v>
                </c:pt>
              </c:numCache>
            </c:numRef>
          </c:xVal>
          <c:yVal>
            <c:numRef>
              <c:f>help_exponential_yz!$C$25:$C$114</c:f>
              <c:numCache>
                <c:formatCode>0.000</c:formatCode>
                <c:ptCount val="90"/>
                <c:pt idx="0">
                  <c:v>-1.7610778420414688</c:v>
                </c:pt>
                <c:pt idx="1">
                  <c:v>-0.25381227825427377</c:v>
                </c:pt>
                <c:pt idx="2">
                  <c:v>-4.3020039915988866</c:v>
                </c:pt>
                <c:pt idx="3">
                  <c:v>4.63858688526956</c:v>
                </c:pt>
                <c:pt idx="4">
                  <c:v>3.4365565161250364</c:v>
                </c:pt>
                <c:pt idx="5">
                  <c:v>-0.5557219267259903</c:v>
                </c:pt>
                <c:pt idx="6">
                  <c:v>-0.49275726819138832</c:v>
                </c:pt>
                <c:pt idx="7">
                  <c:v>0.64045673181535001</c:v>
                </c:pt>
                <c:pt idx="8">
                  <c:v>-4.4322833926422307</c:v>
                </c:pt>
                <c:pt idx="9">
                  <c:v>1.546162629349042</c:v>
                </c:pt>
                <c:pt idx="10">
                  <c:v>-3.3127073803162634</c:v>
                </c:pt>
                <c:pt idx="11">
                  <c:v>0.62088954688853715</c:v>
                </c:pt>
                <c:pt idx="12">
                  <c:v>-1.3504694397229153</c:v>
                </c:pt>
                <c:pt idx="13">
                  <c:v>2.6081748105235052</c:v>
                </c:pt>
                <c:pt idx="14">
                  <c:v>-4.453837370650958</c:v>
                </c:pt>
                <c:pt idx="15">
                  <c:v>4.3955449583182515</c:v>
                </c:pt>
                <c:pt idx="16">
                  <c:v>2.4771761518565363</c:v>
                </c:pt>
                <c:pt idx="17">
                  <c:v>0.68729261968373656</c:v>
                </c:pt>
                <c:pt idx="18">
                  <c:v>-0.70808790586132986</c:v>
                </c:pt>
                <c:pt idx="19">
                  <c:v>4.3053661107791026</c:v>
                </c:pt>
                <c:pt idx="20">
                  <c:v>6.7368482322920533</c:v>
                </c:pt>
                <c:pt idx="21">
                  <c:v>-4.4375113259917738</c:v>
                </c:pt>
                <c:pt idx="22">
                  <c:v>2.6598369252662435</c:v>
                </c:pt>
                <c:pt idx="23">
                  <c:v>-3.2454456447954314</c:v>
                </c:pt>
                <c:pt idx="24">
                  <c:v>-0.98267278504800792</c:v>
                </c:pt>
                <c:pt idx="25">
                  <c:v>3.7523630398366459</c:v>
                </c:pt>
                <c:pt idx="26">
                  <c:v>3.4365565161250364</c:v>
                </c:pt>
                <c:pt idx="27">
                  <c:v>-2.6175798209167773</c:v>
                </c:pt>
                <c:pt idx="28">
                  <c:v>-3.579357706699632</c:v>
                </c:pt>
                <c:pt idx="29">
                  <c:v>3.6347906265019043</c:v>
                </c:pt>
                <c:pt idx="30">
                  <c:v>-2.3875019022414437</c:v>
                </c:pt>
                <c:pt idx="31">
                  <c:v>-3.2150056326996665</c:v>
                </c:pt>
                <c:pt idx="32">
                  <c:v>-1.3710480374081939</c:v>
                </c:pt>
                <c:pt idx="33">
                  <c:v>3.3307825016731885</c:v>
                </c:pt>
                <c:pt idx="34">
                  <c:v>0.71916576512105923</c:v>
                </c:pt>
                <c:pt idx="35">
                  <c:v>2.7477781702377806</c:v>
                </c:pt>
                <c:pt idx="36">
                  <c:v>-0.41966198644881025</c:v>
                </c:pt>
                <c:pt idx="37">
                  <c:v>-4.4246349504802236</c:v>
                </c:pt>
                <c:pt idx="38">
                  <c:v>1.3596513085242607</c:v>
                </c:pt>
                <c:pt idx="39">
                  <c:v>-1.3418381470972411</c:v>
                </c:pt>
                <c:pt idx="40">
                  <c:v>3.63858688526956</c:v>
                </c:pt>
                <c:pt idx="41">
                  <c:v>1.5753650495197764</c:v>
                </c:pt>
                <c:pt idx="42">
                  <c:v>-4.3243022228940964</c:v>
                </c:pt>
                <c:pt idx="43">
                  <c:v>-4.2841032932651295</c:v>
                </c:pt>
                <c:pt idx="44">
                  <c:v>-3.5519186751968439</c:v>
                </c:pt>
                <c:pt idx="45">
                  <c:v>-4.2897744566357217</c:v>
                </c:pt>
                <c:pt idx="46">
                  <c:v>-4.2933157853089536</c:v>
                </c:pt>
                <c:pt idx="47">
                  <c:v>-1.6946338892208974</c:v>
                </c:pt>
                <c:pt idx="48">
                  <c:v>6.7559791332541819</c:v>
                </c:pt>
                <c:pt idx="49">
                  <c:v>7.587613436787283</c:v>
                </c:pt>
                <c:pt idx="50">
                  <c:v>-4.3940194747250656</c:v>
                </c:pt>
                <c:pt idx="51">
                  <c:v>2.3372662579852737</c:v>
                </c:pt>
                <c:pt idx="52">
                  <c:v>-0.46527848313873665</c:v>
                </c:pt>
                <c:pt idx="53">
                  <c:v>-1.684314587996651</c:v>
                </c:pt>
                <c:pt idx="54">
                  <c:v>2.7005407167530118</c:v>
                </c:pt>
                <c:pt idx="55">
                  <c:v>-1.2587790081977008</c:v>
                </c:pt>
                <c:pt idx="56">
                  <c:v>-0.46237515890958036</c:v>
                </c:pt>
                <c:pt idx="57">
                  <c:v>-3.6357033895680626</c:v>
                </c:pt>
                <c:pt idx="58">
                  <c:v>0.68729261968373656</c:v>
                </c:pt>
                <c:pt idx="59">
                  <c:v>4.7978331152997393</c:v>
                </c:pt>
                <c:pt idx="60">
                  <c:v>7.2032838276246736E-2</c:v>
                </c:pt>
                <c:pt idx="61">
                  <c:v>1.6564699457821428</c:v>
                </c:pt>
                <c:pt idx="62">
                  <c:v>2.6188230468648657</c:v>
                </c:pt>
                <c:pt idx="63">
                  <c:v>3.7573756988081692</c:v>
                </c:pt>
                <c:pt idx="64">
                  <c:v>-1.7324209413298766</c:v>
                </c:pt>
                <c:pt idx="65">
                  <c:v>1.8480064567866199</c:v>
                </c:pt>
                <c:pt idx="66">
                  <c:v>-3.2498950110195528</c:v>
                </c:pt>
                <c:pt idx="67">
                  <c:v>-4.499206854863635</c:v>
                </c:pt>
                <c:pt idx="68">
                  <c:v>-2.2267965655820499</c:v>
                </c:pt>
                <c:pt idx="69">
                  <c:v>4.7066842146910464</c:v>
                </c:pt>
                <c:pt idx="70">
                  <c:v>3.753831208837747</c:v>
                </c:pt>
                <c:pt idx="71">
                  <c:v>-1.3452389652877255</c:v>
                </c:pt>
                <c:pt idx="72">
                  <c:v>2.699274724294928</c:v>
                </c:pt>
                <c:pt idx="73">
                  <c:v>0.62088954688853715</c:v>
                </c:pt>
                <c:pt idx="74">
                  <c:v>1.4480813248031561</c:v>
                </c:pt>
                <c:pt idx="75">
                  <c:v>1.315685412003349</c:v>
                </c:pt>
                <c:pt idx="76">
                  <c:v>-0.27674941195742608</c:v>
                </c:pt>
                <c:pt idx="77">
                  <c:v>-1.3085929433989474</c:v>
                </c:pt>
                <c:pt idx="78">
                  <c:v>-2.8359931896531521</c:v>
                </c:pt>
                <c:pt idx="79">
                  <c:v>-4.5159066136717705</c:v>
                </c:pt>
                <c:pt idx="80">
                  <c:v>0.30012854750356066</c:v>
                </c:pt>
                <c:pt idx="81">
                  <c:v>-0.43751132599177378</c:v>
                </c:pt>
                <c:pt idx="82">
                  <c:v>0.15062339811575587</c:v>
                </c:pt>
                <c:pt idx="83">
                  <c:v>0.70668421469104636</c:v>
                </c:pt>
                <c:pt idx="84">
                  <c:v>1.7313039805743147</c:v>
                </c:pt>
                <c:pt idx="85">
                  <c:v>-2.3730335088069445</c:v>
                </c:pt>
                <c:pt idx="86">
                  <c:v>-0.41721255394549939</c:v>
                </c:pt>
                <c:pt idx="87">
                  <c:v>-1.6450406794437455</c:v>
                </c:pt>
                <c:pt idx="88">
                  <c:v>4.0567914285617448</c:v>
                </c:pt>
                <c:pt idx="89">
                  <c:v>-4.4100095223801503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F9-4079-8516-98B348A3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941215"/>
        <c:axId val="574950815"/>
      </c:scatterChart>
      <c:valAx>
        <c:axId val="57494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exp(-0.01Y)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low"/>
        <c:crossAx val="574950815"/>
        <c:crosses val="autoZero"/>
        <c:crossBetween val="midCat"/>
      </c:valAx>
      <c:valAx>
        <c:axId val="574950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749412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 поле (гиперболическая модель)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Корреляционное поле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hyperbolic_yz!$B$2:$B$91</c:f>
              <c:numCache>
                <c:formatCode>0.000</c:formatCode>
                <c:ptCount val="90"/>
                <c:pt idx="0">
                  <c:v>4.2918454935622317E-3</c:v>
                </c:pt>
                <c:pt idx="1">
                  <c:v>2.3148148148148147E-3</c:v>
                </c:pt>
                <c:pt idx="2">
                  <c:v>2.5974025974025974E-3</c:v>
                </c:pt>
                <c:pt idx="3">
                  <c:v>2.881844380403458E-3</c:v>
                </c:pt>
                <c:pt idx="4">
                  <c:v>3.6496350364963502E-3</c:v>
                </c:pt>
                <c:pt idx="5">
                  <c:v>3.6231884057971015E-3</c:v>
                </c:pt>
                <c:pt idx="6">
                  <c:v>3.4013605442176869E-3</c:v>
                </c:pt>
                <c:pt idx="7">
                  <c:v>2.8735632183908046E-3</c:v>
                </c:pt>
                <c:pt idx="8">
                  <c:v>3.1746031746031746E-3</c:v>
                </c:pt>
                <c:pt idx="9">
                  <c:v>3.2573289902280132E-3</c:v>
                </c:pt>
                <c:pt idx="10">
                  <c:v>2.6525198938992041E-3</c:v>
                </c:pt>
                <c:pt idx="11">
                  <c:v>2.9585798816568047E-3</c:v>
                </c:pt>
                <c:pt idx="12">
                  <c:v>2.8328611898016999E-3</c:v>
                </c:pt>
                <c:pt idx="13">
                  <c:v>3.0120481927710845E-3</c:v>
                </c:pt>
                <c:pt idx="14">
                  <c:v>3.2573289902280132E-3</c:v>
                </c:pt>
                <c:pt idx="15">
                  <c:v>3.787878787878788E-3</c:v>
                </c:pt>
                <c:pt idx="16">
                  <c:v>3.5087719298245615E-3</c:v>
                </c:pt>
                <c:pt idx="17">
                  <c:v>2.6525198938992041E-3</c:v>
                </c:pt>
                <c:pt idx="18">
                  <c:v>7.2992700729927005E-3</c:v>
                </c:pt>
                <c:pt idx="19">
                  <c:v>4.0816326530612249E-3</c:v>
                </c:pt>
                <c:pt idx="20">
                  <c:v>2.3752969121140144E-3</c:v>
                </c:pt>
                <c:pt idx="21">
                  <c:v>3.1948881789137379E-3</c:v>
                </c:pt>
                <c:pt idx="22">
                  <c:v>2.7855153203342618E-3</c:v>
                </c:pt>
                <c:pt idx="23">
                  <c:v>2.257336343115124E-3</c:v>
                </c:pt>
                <c:pt idx="24">
                  <c:v>4.9751243781094526E-3</c:v>
                </c:pt>
                <c:pt idx="25">
                  <c:v>2.2727272727272726E-3</c:v>
                </c:pt>
                <c:pt idx="26">
                  <c:v>3.6496350364963502E-3</c:v>
                </c:pt>
                <c:pt idx="27">
                  <c:v>3.8314176245210726E-3</c:v>
                </c:pt>
                <c:pt idx="28">
                  <c:v>3.7037037037037038E-3</c:v>
                </c:pt>
                <c:pt idx="29">
                  <c:v>2.8985507246376812E-3</c:v>
                </c:pt>
                <c:pt idx="30">
                  <c:v>2.9940119760479044E-3</c:v>
                </c:pt>
                <c:pt idx="31">
                  <c:v>2.008032128514056E-3</c:v>
                </c:pt>
                <c:pt idx="32">
                  <c:v>2.9239766081871343E-3</c:v>
                </c:pt>
                <c:pt idx="33">
                  <c:v>4.0000000000000001E-3</c:v>
                </c:pt>
                <c:pt idx="34">
                  <c:v>2.4813895781637717E-3</c:v>
                </c:pt>
                <c:pt idx="35">
                  <c:v>2.304147465437788E-3</c:v>
                </c:pt>
                <c:pt idx="36">
                  <c:v>3.1250000000000002E-3</c:v>
                </c:pt>
                <c:pt idx="37">
                  <c:v>3.1446540880503146E-3</c:v>
                </c:pt>
                <c:pt idx="38">
                  <c:v>3.90625E-3</c:v>
                </c:pt>
                <c:pt idx="39">
                  <c:v>2.7932960893854749E-3</c:v>
                </c:pt>
                <c:pt idx="40">
                  <c:v>2.881844380403458E-3</c:v>
                </c:pt>
                <c:pt idx="41">
                  <c:v>3.1446540880503146E-3</c:v>
                </c:pt>
                <c:pt idx="42">
                  <c:v>2.7100271002710027E-3</c:v>
                </c:pt>
                <c:pt idx="43">
                  <c:v>2.5000000000000001E-3</c:v>
                </c:pt>
                <c:pt idx="44">
                  <c:v>3.6101083032490976E-3</c:v>
                </c:pt>
                <c:pt idx="45">
                  <c:v>2.5316455696202532E-3</c:v>
                </c:pt>
                <c:pt idx="46">
                  <c:v>2.5510204081632651E-3</c:v>
                </c:pt>
                <c:pt idx="47">
                  <c:v>4.0816326530612249E-3</c:v>
                </c:pt>
                <c:pt idx="48">
                  <c:v>2.2471910112359553E-3</c:v>
                </c:pt>
                <c:pt idx="49">
                  <c:v>3.0959752321981426E-3</c:v>
                </c:pt>
                <c:pt idx="50">
                  <c:v>3.0211480362537764E-3</c:v>
                </c:pt>
                <c:pt idx="51">
                  <c:v>7.1428571428571426E-3</c:v>
                </c:pt>
                <c:pt idx="52">
                  <c:v>3.3003300330033004E-3</c:v>
                </c:pt>
                <c:pt idx="53">
                  <c:v>4.048582995951417E-3</c:v>
                </c:pt>
                <c:pt idx="54">
                  <c:v>2.5839793281653748E-3</c:v>
                </c:pt>
                <c:pt idx="55">
                  <c:v>2.3474178403755869E-3</c:v>
                </c:pt>
                <c:pt idx="56">
                  <c:v>3.2894736842105261E-3</c:v>
                </c:pt>
                <c:pt idx="57">
                  <c:v>3.8910505836575876E-3</c:v>
                </c:pt>
                <c:pt idx="58">
                  <c:v>2.6525198938992041E-3</c:v>
                </c:pt>
                <c:pt idx="59">
                  <c:v>1.869158878504673E-3</c:v>
                </c:pt>
                <c:pt idx="60">
                  <c:v>4.807692307692308E-3</c:v>
                </c:pt>
                <c:pt idx="61">
                  <c:v>2.8011204481792717E-3</c:v>
                </c:pt>
                <c:pt idx="62">
                  <c:v>2.967359050445104E-3</c:v>
                </c:pt>
                <c:pt idx="63">
                  <c:v>2.2371364653243847E-3</c:v>
                </c:pt>
                <c:pt idx="64">
                  <c:v>4.2016806722689074E-3</c:v>
                </c:pt>
                <c:pt idx="65">
                  <c:v>5.4945054945054949E-3</c:v>
                </c:pt>
                <c:pt idx="66">
                  <c:v>2.2883295194508009E-3</c:v>
                </c:pt>
                <c:pt idx="67">
                  <c:v>3.4246575342465752E-3</c:v>
                </c:pt>
                <c:pt idx="68">
                  <c:v>2.1141649048625794E-3</c:v>
                </c:pt>
                <c:pt idx="69">
                  <c:v>2.5510204081632651E-3</c:v>
                </c:pt>
                <c:pt idx="70">
                  <c:v>2.2624434389140274E-3</c:v>
                </c:pt>
                <c:pt idx="71">
                  <c:v>2.8089887640449437E-3</c:v>
                </c:pt>
                <c:pt idx="72">
                  <c:v>2.5906735751295338E-3</c:v>
                </c:pt>
                <c:pt idx="73">
                  <c:v>2.9585798816568047E-3</c:v>
                </c:pt>
                <c:pt idx="74">
                  <c:v>3.6101083032490976E-3</c:v>
                </c:pt>
                <c:pt idx="75">
                  <c:v>4.048582995951417E-3</c:v>
                </c:pt>
                <c:pt idx="76">
                  <c:v>5.8823529411764705E-3</c:v>
                </c:pt>
                <c:pt idx="77">
                  <c:v>2.631578947368421E-3</c:v>
                </c:pt>
                <c:pt idx="78">
                  <c:v>4.5248868778280547E-3</c:v>
                </c:pt>
                <c:pt idx="79">
                  <c:v>3.4843205574912892E-3</c:v>
                </c:pt>
                <c:pt idx="80">
                  <c:v>4.0983606557377051E-3</c:v>
                </c:pt>
                <c:pt idx="81">
                  <c:v>3.1948881789137379E-3</c:v>
                </c:pt>
                <c:pt idx="82">
                  <c:v>4.5662100456621002E-3</c:v>
                </c:pt>
                <c:pt idx="83">
                  <c:v>2.5510204081632651E-3</c:v>
                </c:pt>
                <c:pt idx="84">
                  <c:v>2.4096385542168677E-3</c:v>
                </c:pt>
                <c:pt idx="85">
                  <c:v>2.9325513196480938E-3</c:v>
                </c:pt>
                <c:pt idx="86">
                  <c:v>3.1152647975077881E-3</c:v>
                </c:pt>
                <c:pt idx="87">
                  <c:v>3.9215686274509803E-3</c:v>
                </c:pt>
                <c:pt idx="88">
                  <c:v>4.8543689320388345E-3</c:v>
                </c:pt>
                <c:pt idx="89">
                  <c:v>3.0864197530864196E-3</c:v>
                </c:pt>
              </c:numCache>
            </c:numRef>
          </c:xVal>
          <c:yVal>
            <c:numRef>
              <c:f>hyperbolic_yz!$C$2:$C$91</c:f>
              <c:numCache>
                <c:formatCode>General</c:formatCode>
                <c:ptCount val="90"/>
                <c:pt idx="0">
                  <c:v>-7</c:v>
                </c:pt>
                <c:pt idx="1">
                  <c:v>-6</c:v>
                </c:pt>
                <c:pt idx="2">
                  <c:v>-10</c:v>
                </c:pt>
                <c:pt idx="3">
                  <c:v>-1</c:v>
                </c:pt>
                <c:pt idx="4">
                  <c:v>-2</c:v>
                </c:pt>
                <c:pt idx="5">
                  <c:v>-6</c:v>
                </c:pt>
                <c:pt idx="6">
                  <c:v>-6</c:v>
                </c:pt>
                <c:pt idx="7">
                  <c:v>-5</c:v>
                </c:pt>
                <c:pt idx="8">
                  <c:v>-10</c:v>
                </c:pt>
                <c:pt idx="9">
                  <c:v>-4</c:v>
                </c:pt>
                <c:pt idx="10">
                  <c:v>-9</c:v>
                </c:pt>
                <c:pt idx="11">
                  <c:v>-5</c:v>
                </c:pt>
                <c:pt idx="12">
                  <c:v>-7</c:v>
                </c:pt>
                <c:pt idx="13">
                  <c:v>-3</c:v>
                </c:pt>
                <c:pt idx="14">
                  <c:v>-10</c:v>
                </c:pt>
                <c:pt idx="15">
                  <c:v>-1</c:v>
                </c:pt>
                <c:pt idx="16">
                  <c:v>-3</c:v>
                </c:pt>
                <c:pt idx="17">
                  <c:v>-5</c:v>
                </c:pt>
                <c:pt idx="18">
                  <c:v>-5</c:v>
                </c:pt>
                <c:pt idx="19">
                  <c:v>-1</c:v>
                </c:pt>
                <c:pt idx="20">
                  <c:v>1</c:v>
                </c:pt>
                <c:pt idx="21">
                  <c:v>-10</c:v>
                </c:pt>
                <c:pt idx="22">
                  <c:v>-3</c:v>
                </c:pt>
                <c:pt idx="23">
                  <c:v>-9</c:v>
                </c:pt>
                <c:pt idx="24">
                  <c:v>-6</c:v>
                </c:pt>
                <c:pt idx="25">
                  <c:v>-2</c:v>
                </c:pt>
                <c:pt idx="26">
                  <c:v>-2</c:v>
                </c:pt>
                <c:pt idx="27">
                  <c:v>-8</c:v>
                </c:pt>
                <c:pt idx="28">
                  <c:v>-9</c:v>
                </c:pt>
                <c:pt idx="29">
                  <c:v>-2</c:v>
                </c:pt>
                <c:pt idx="30">
                  <c:v>-8</c:v>
                </c:pt>
                <c:pt idx="31">
                  <c:v>-9</c:v>
                </c:pt>
                <c:pt idx="32">
                  <c:v>-7</c:v>
                </c:pt>
                <c:pt idx="33">
                  <c:v>-2</c:v>
                </c:pt>
                <c:pt idx="34">
                  <c:v>-5</c:v>
                </c:pt>
                <c:pt idx="35">
                  <c:v>-3</c:v>
                </c:pt>
                <c:pt idx="36">
                  <c:v>-6</c:v>
                </c:pt>
                <c:pt idx="37">
                  <c:v>-10</c:v>
                </c:pt>
                <c:pt idx="38">
                  <c:v>-4</c:v>
                </c:pt>
                <c:pt idx="39">
                  <c:v>-7</c:v>
                </c:pt>
                <c:pt idx="40">
                  <c:v>-2</c:v>
                </c:pt>
                <c:pt idx="41">
                  <c:v>-4</c:v>
                </c:pt>
                <c:pt idx="42">
                  <c:v>-10</c:v>
                </c:pt>
                <c:pt idx="43">
                  <c:v>-10</c:v>
                </c:pt>
                <c:pt idx="44">
                  <c:v>-9</c:v>
                </c:pt>
                <c:pt idx="45">
                  <c:v>-10</c:v>
                </c:pt>
                <c:pt idx="46">
                  <c:v>-10</c:v>
                </c:pt>
                <c:pt idx="47">
                  <c:v>-7</c:v>
                </c:pt>
                <c:pt idx="48">
                  <c:v>1</c:v>
                </c:pt>
                <c:pt idx="49">
                  <c:v>2</c:v>
                </c:pt>
                <c:pt idx="50">
                  <c:v>-10</c:v>
                </c:pt>
                <c:pt idx="51">
                  <c:v>-2</c:v>
                </c:pt>
                <c:pt idx="52">
                  <c:v>-6</c:v>
                </c:pt>
                <c:pt idx="53">
                  <c:v>-7</c:v>
                </c:pt>
                <c:pt idx="54">
                  <c:v>-3</c:v>
                </c:pt>
                <c:pt idx="55">
                  <c:v>-7</c:v>
                </c:pt>
                <c:pt idx="56">
                  <c:v>-6</c:v>
                </c:pt>
                <c:pt idx="57">
                  <c:v>-9</c:v>
                </c:pt>
                <c:pt idx="58">
                  <c:v>-5</c:v>
                </c:pt>
                <c:pt idx="59">
                  <c:v>-1</c:v>
                </c:pt>
                <c:pt idx="60">
                  <c:v>-5</c:v>
                </c:pt>
                <c:pt idx="61">
                  <c:v>-4</c:v>
                </c:pt>
                <c:pt idx="62">
                  <c:v>-3</c:v>
                </c:pt>
                <c:pt idx="63">
                  <c:v>-2</c:v>
                </c:pt>
                <c:pt idx="64">
                  <c:v>-7</c:v>
                </c:pt>
                <c:pt idx="65">
                  <c:v>-3</c:v>
                </c:pt>
                <c:pt idx="66">
                  <c:v>-9</c:v>
                </c:pt>
                <c:pt idx="67">
                  <c:v>-10</c:v>
                </c:pt>
                <c:pt idx="68">
                  <c:v>-8</c:v>
                </c:pt>
                <c:pt idx="69">
                  <c:v>-1</c:v>
                </c:pt>
                <c:pt idx="70">
                  <c:v>-2</c:v>
                </c:pt>
                <c:pt idx="71">
                  <c:v>-7</c:v>
                </c:pt>
                <c:pt idx="72">
                  <c:v>-3</c:v>
                </c:pt>
                <c:pt idx="73">
                  <c:v>-5</c:v>
                </c:pt>
                <c:pt idx="74">
                  <c:v>-4</c:v>
                </c:pt>
                <c:pt idx="75">
                  <c:v>-4</c:v>
                </c:pt>
                <c:pt idx="76">
                  <c:v>-5</c:v>
                </c:pt>
                <c:pt idx="77">
                  <c:v>-7</c:v>
                </c:pt>
                <c:pt idx="78">
                  <c:v>-8</c:v>
                </c:pt>
                <c:pt idx="79">
                  <c:v>-10</c:v>
                </c:pt>
                <c:pt idx="80">
                  <c:v>-5</c:v>
                </c:pt>
                <c:pt idx="81">
                  <c:v>-6</c:v>
                </c:pt>
                <c:pt idx="82">
                  <c:v>-5</c:v>
                </c:pt>
                <c:pt idx="83">
                  <c:v>-5</c:v>
                </c:pt>
                <c:pt idx="84">
                  <c:v>-4</c:v>
                </c:pt>
                <c:pt idx="85">
                  <c:v>-8</c:v>
                </c:pt>
                <c:pt idx="86">
                  <c:v>-6</c:v>
                </c:pt>
                <c:pt idx="87">
                  <c:v>-7</c:v>
                </c:pt>
                <c:pt idx="88">
                  <c:v>-1</c:v>
                </c:pt>
                <c:pt idx="89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A0-4D2E-8D3D-E5DA761C6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462512"/>
        <c:axId val="1826466352"/>
      </c:scatterChart>
      <c:valAx>
        <c:axId val="18264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1/Y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466352"/>
        <c:crosses val="autoZero"/>
        <c:crossBetween val="midCat"/>
      </c:valAx>
      <c:valAx>
        <c:axId val="18264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</a:t>
                </a:r>
                <a:r>
                  <a:rPr lang="ru-RU"/>
                  <a:t>-значения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46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1/Y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hyperbolic_yz!$B$2:$B$91</c:f>
              <c:numCache>
                <c:formatCode>0.000</c:formatCode>
                <c:ptCount val="90"/>
                <c:pt idx="0">
                  <c:v>4.2918454935622317E-3</c:v>
                </c:pt>
                <c:pt idx="1">
                  <c:v>2.3148148148148147E-3</c:v>
                </c:pt>
                <c:pt idx="2">
                  <c:v>2.5974025974025974E-3</c:v>
                </c:pt>
                <c:pt idx="3">
                  <c:v>2.881844380403458E-3</c:v>
                </c:pt>
                <c:pt idx="4">
                  <c:v>3.6496350364963502E-3</c:v>
                </c:pt>
                <c:pt idx="5">
                  <c:v>3.6231884057971015E-3</c:v>
                </c:pt>
                <c:pt idx="6">
                  <c:v>3.4013605442176869E-3</c:v>
                </c:pt>
                <c:pt idx="7">
                  <c:v>2.8735632183908046E-3</c:v>
                </c:pt>
                <c:pt idx="8">
                  <c:v>3.1746031746031746E-3</c:v>
                </c:pt>
                <c:pt idx="9">
                  <c:v>3.2573289902280132E-3</c:v>
                </c:pt>
                <c:pt idx="10">
                  <c:v>2.6525198938992041E-3</c:v>
                </c:pt>
                <c:pt idx="11">
                  <c:v>2.9585798816568047E-3</c:v>
                </c:pt>
                <c:pt idx="12">
                  <c:v>2.8328611898016999E-3</c:v>
                </c:pt>
                <c:pt idx="13">
                  <c:v>3.0120481927710845E-3</c:v>
                </c:pt>
                <c:pt idx="14">
                  <c:v>3.2573289902280132E-3</c:v>
                </c:pt>
                <c:pt idx="15">
                  <c:v>3.787878787878788E-3</c:v>
                </c:pt>
                <c:pt idx="16">
                  <c:v>3.5087719298245615E-3</c:v>
                </c:pt>
                <c:pt idx="17">
                  <c:v>2.6525198938992041E-3</c:v>
                </c:pt>
                <c:pt idx="18">
                  <c:v>7.2992700729927005E-3</c:v>
                </c:pt>
                <c:pt idx="19">
                  <c:v>4.0816326530612249E-3</c:v>
                </c:pt>
                <c:pt idx="20">
                  <c:v>2.3752969121140144E-3</c:v>
                </c:pt>
                <c:pt idx="21">
                  <c:v>3.1948881789137379E-3</c:v>
                </c:pt>
                <c:pt idx="22">
                  <c:v>2.7855153203342618E-3</c:v>
                </c:pt>
                <c:pt idx="23">
                  <c:v>2.257336343115124E-3</c:v>
                </c:pt>
                <c:pt idx="24">
                  <c:v>4.9751243781094526E-3</c:v>
                </c:pt>
                <c:pt idx="25">
                  <c:v>2.2727272727272726E-3</c:v>
                </c:pt>
                <c:pt idx="26">
                  <c:v>3.6496350364963502E-3</c:v>
                </c:pt>
                <c:pt idx="27">
                  <c:v>3.8314176245210726E-3</c:v>
                </c:pt>
                <c:pt idx="28">
                  <c:v>3.7037037037037038E-3</c:v>
                </c:pt>
                <c:pt idx="29">
                  <c:v>2.8985507246376812E-3</c:v>
                </c:pt>
                <c:pt idx="30">
                  <c:v>2.9940119760479044E-3</c:v>
                </c:pt>
                <c:pt idx="31">
                  <c:v>2.008032128514056E-3</c:v>
                </c:pt>
                <c:pt idx="32">
                  <c:v>2.9239766081871343E-3</c:v>
                </c:pt>
                <c:pt idx="33">
                  <c:v>4.0000000000000001E-3</c:v>
                </c:pt>
                <c:pt idx="34">
                  <c:v>2.4813895781637717E-3</c:v>
                </c:pt>
                <c:pt idx="35">
                  <c:v>2.304147465437788E-3</c:v>
                </c:pt>
                <c:pt idx="36">
                  <c:v>3.1250000000000002E-3</c:v>
                </c:pt>
                <c:pt idx="37">
                  <c:v>3.1446540880503146E-3</c:v>
                </c:pt>
                <c:pt idx="38">
                  <c:v>3.90625E-3</c:v>
                </c:pt>
                <c:pt idx="39">
                  <c:v>2.7932960893854749E-3</c:v>
                </c:pt>
                <c:pt idx="40">
                  <c:v>2.881844380403458E-3</c:v>
                </c:pt>
                <c:pt idx="41">
                  <c:v>3.1446540880503146E-3</c:v>
                </c:pt>
                <c:pt idx="42">
                  <c:v>2.7100271002710027E-3</c:v>
                </c:pt>
                <c:pt idx="43">
                  <c:v>2.5000000000000001E-3</c:v>
                </c:pt>
                <c:pt idx="44">
                  <c:v>3.6101083032490976E-3</c:v>
                </c:pt>
                <c:pt idx="45">
                  <c:v>2.5316455696202532E-3</c:v>
                </c:pt>
                <c:pt idx="46">
                  <c:v>2.5510204081632651E-3</c:v>
                </c:pt>
                <c:pt idx="47">
                  <c:v>4.0816326530612249E-3</c:v>
                </c:pt>
                <c:pt idx="48">
                  <c:v>2.2471910112359553E-3</c:v>
                </c:pt>
                <c:pt idx="49">
                  <c:v>3.0959752321981426E-3</c:v>
                </c:pt>
                <c:pt idx="50">
                  <c:v>3.0211480362537764E-3</c:v>
                </c:pt>
                <c:pt idx="51">
                  <c:v>7.1428571428571426E-3</c:v>
                </c:pt>
                <c:pt idx="52">
                  <c:v>3.3003300330033004E-3</c:v>
                </c:pt>
                <c:pt idx="53">
                  <c:v>4.048582995951417E-3</c:v>
                </c:pt>
                <c:pt idx="54">
                  <c:v>2.5839793281653748E-3</c:v>
                </c:pt>
                <c:pt idx="55">
                  <c:v>2.3474178403755869E-3</c:v>
                </c:pt>
                <c:pt idx="56">
                  <c:v>3.2894736842105261E-3</c:v>
                </c:pt>
                <c:pt idx="57">
                  <c:v>3.8910505836575876E-3</c:v>
                </c:pt>
                <c:pt idx="58">
                  <c:v>2.6525198938992041E-3</c:v>
                </c:pt>
                <c:pt idx="59">
                  <c:v>1.869158878504673E-3</c:v>
                </c:pt>
                <c:pt idx="60">
                  <c:v>4.807692307692308E-3</c:v>
                </c:pt>
                <c:pt idx="61">
                  <c:v>2.8011204481792717E-3</c:v>
                </c:pt>
                <c:pt idx="62">
                  <c:v>2.967359050445104E-3</c:v>
                </c:pt>
                <c:pt idx="63">
                  <c:v>2.2371364653243847E-3</c:v>
                </c:pt>
                <c:pt idx="64">
                  <c:v>4.2016806722689074E-3</c:v>
                </c:pt>
                <c:pt idx="65">
                  <c:v>5.4945054945054949E-3</c:v>
                </c:pt>
                <c:pt idx="66">
                  <c:v>2.2883295194508009E-3</c:v>
                </c:pt>
                <c:pt idx="67">
                  <c:v>3.4246575342465752E-3</c:v>
                </c:pt>
                <c:pt idx="68">
                  <c:v>2.1141649048625794E-3</c:v>
                </c:pt>
                <c:pt idx="69">
                  <c:v>2.5510204081632651E-3</c:v>
                </c:pt>
                <c:pt idx="70">
                  <c:v>2.2624434389140274E-3</c:v>
                </c:pt>
                <c:pt idx="71">
                  <c:v>2.8089887640449437E-3</c:v>
                </c:pt>
                <c:pt idx="72">
                  <c:v>2.5906735751295338E-3</c:v>
                </c:pt>
                <c:pt idx="73">
                  <c:v>2.9585798816568047E-3</c:v>
                </c:pt>
                <c:pt idx="74">
                  <c:v>3.6101083032490976E-3</c:v>
                </c:pt>
                <c:pt idx="75">
                  <c:v>4.048582995951417E-3</c:v>
                </c:pt>
                <c:pt idx="76">
                  <c:v>5.8823529411764705E-3</c:v>
                </c:pt>
                <c:pt idx="77">
                  <c:v>2.631578947368421E-3</c:v>
                </c:pt>
                <c:pt idx="78">
                  <c:v>4.5248868778280547E-3</c:v>
                </c:pt>
                <c:pt idx="79">
                  <c:v>3.4843205574912892E-3</c:v>
                </c:pt>
                <c:pt idx="80">
                  <c:v>4.0983606557377051E-3</c:v>
                </c:pt>
                <c:pt idx="81">
                  <c:v>3.1948881789137379E-3</c:v>
                </c:pt>
                <c:pt idx="82">
                  <c:v>4.5662100456621002E-3</c:v>
                </c:pt>
                <c:pt idx="83">
                  <c:v>2.5510204081632651E-3</c:v>
                </c:pt>
                <c:pt idx="84">
                  <c:v>2.4096385542168677E-3</c:v>
                </c:pt>
                <c:pt idx="85">
                  <c:v>2.9325513196480938E-3</c:v>
                </c:pt>
                <c:pt idx="86">
                  <c:v>3.1152647975077881E-3</c:v>
                </c:pt>
                <c:pt idx="87">
                  <c:v>3.9215686274509803E-3</c:v>
                </c:pt>
                <c:pt idx="88">
                  <c:v>4.8543689320388345E-3</c:v>
                </c:pt>
                <c:pt idx="89">
                  <c:v>3.0864197530864196E-3</c:v>
                </c:pt>
              </c:numCache>
            </c:numRef>
          </c:xVal>
          <c:yVal>
            <c:numRef>
              <c:f>help_hyperbolic_yz!$C$25:$C$114</c:f>
              <c:numCache>
                <c:formatCode>0.000</c:formatCode>
                <c:ptCount val="90"/>
                <c:pt idx="0">
                  <c:v>-1.7085816799084599</c:v>
                </c:pt>
                <c:pt idx="1">
                  <c:v>-0.27717133509151459</c:v>
                </c:pt>
                <c:pt idx="2">
                  <c:v>-4.3388351696681688</c:v>
                </c:pt>
                <c:pt idx="3">
                  <c:v>4.5990964319989871</c:v>
                </c:pt>
                <c:pt idx="4">
                  <c:v>3.4315558696531756</c:v>
                </c:pt>
                <c:pt idx="5">
                  <c:v>-0.56267317788166693</c:v>
                </c:pt>
                <c:pt idx="6">
                  <c:v>-0.51426784189840724</c:v>
                </c:pt>
                <c:pt idx="7">
                  <c:v>0.60090347475141748</c:v>
                </c:pt>
                <c:pt idx="8">
                  <c:v>-4.4647868317821864</c:v>
                </c:pt>
                <c:pt idx="9">
                  <c:v>1.5171614642014726</c:v>
                </c:pt>
                <c:pt idx="10">
                  <c:v>-3.3508623840875451</c:v>
                </c:pt>
                <c:pt idx="11">
                  <c:v>0.58235188199717225</c:v>
                </c:pt>
                <c:pt idx="12">
                  <c:v>-1.3902148845248785</c:v>
                </c:pt>
                <c:pt idx="13">
                  <c:v>2.5706844947469119</c:v>
                </c:pt>
                <c:pt idx="14">
                  <c:v>-4.4828385357985274</c:v>
                </c:pt>
                <c:pt idx="15">
                  <c:v>4.4013895272216708</c:v>
                </c:pt>
                <c:pt idx="16">
                  <c:v>2.4622937848886455</c:v>
                </c:pt>
                <c:pt idx="17">
                  <c:v>0.64913761591245489</c:v>
                </c:pt>
                <c:pt idx="18">
                  <c:v>-0.36483557053855797</c:v>
                </c:pt>
                <c:pt idx="19">
                  <c:v>4.3372891277529293</c:v>
                </c:pt>
                <c:pt idx="20">
                  <c:v>6.709630790575229</c:v>
                </c:pt>
                <c:pt idx="21">
                  <c:v>-4.4692132480226148</c:v>
                </c:pt>
                <c:pt idx="22">
                  <c:v>2.620116517052332</c:v>
                </c:pt>
                <c:pt idx="23">
                  <c:v>-3.2646288856687145</c:v>
                </c:pt>
                <c:pt idx="24">
                  <c:v>-0.85768082255576239</c:v>
                </c:pt>
                <c:pt idx="25">
                  <c:v>3.7320126402709652</c:v>
                </c:pt>
                <c:pt idx="26">
                  <c:v>3.4315558696531756</c:v>
                </c:pt>
                <c:pt idx="27">
                  <c:v>-2.6081111369464125</c:v>
                </c:pt>
                <c:pt idx="28">
                  <c:v>-3.5802425220533687</c:v>
                </c:pt>
                <c:pt idx="29">
                  <c:v>3.5954509196636479</c:v>
                </c:pt>
                <c:pt idx="30">
                  <c:v>-2.4253797997734594</c:v>
                </c:pt>
                <c:pt idx="31">
                  <c:v>-3.2102279002204224</c:v>
                </c:pt>
                <c:pt idx="32">
                  <c:v>-1.4100972942853103</c:v>
                </c:pt>
                <c:pt idx="33">
                  <c:v>3.3551022913947692</c:v>
                </c:pt>
                <c:pt idx="34">
                  <c:v>0.68648017681132334</c:v>
                </c:pt>
                <c:pt idx="35">
                  <c:v>2.7251564005994364</c:v>
                </c:pt>
                <c:pt idx="36">
                  <c:v>-0.45396286081926274</c:v>
                </c:pt>
                <c:pt idx="37">
                  <c:v>-4.4582516040309876</c:v>
                </c:pt>
                <c:pt idx="38">
                  <c:v>1.3755595965146945</c:v>
                </c:pt>
                <c:pt idx="39">
                  <c:v>-1.3815813343241832</c:v>
                </c:pt>
                <c:pt idx="40">
                  <c:v>3.5990964319989871</c:v>
                </c:pt>
                <c:pt idx="41">
                  <c:v>1.5417483959690124</c:v>
                </c:pt>
                <c:pt idx="42">
                  <c:v>-4.3634111037391969</c:v>
                </c:pt>
                <c:pt idx="43">
                  <c:v>-4.3175808266864291</c:v>
                </c:pt>
                <c:pt idx="44">
                  <c:v>-3.559818952294207</c:v>
                </c:pt>
                <c:pt idx="45">
                  <c:v>-4.3244862461361926</c:v>
                </c:pt>
                <c:pt idx="46">
                  <c:v>-4.3287140539625781</c:v>
                </c:pt>
                <c:pt idx="47">
                  <c:v>-1.6627108722470707</c:v>
                </c:pt>
                <c:pt idx="48">
                  <c:v>6.7375849399290999</c:v>
                </c:pt>
                <c:pt idx="49">
                  <c:v>7.5523706701776181</c:v>
                </c:pt>
                <c:pt idx="50">
                  <c:v>-4.4313011935162239</c:v>
                </c:pt>
                <c:pt idx="51">
                  <c:v>2.669295491183945</c:v>
                </c:pt>
                <c:pt idx="52">
                  <c:v>-0.49222184729217044</c:v>
                </c:pt>
                <c:pt idx="53">
                  <c:v>-1.6554990651046255</c:v>
                </c:pt>
                <c:pt idx="54">
                  <c:v>2.6640939387530871</c:v>
                </c:pt>
                <c:pt idx="55">
                  <c:v>-1.2842856822032953</c:v>
                </c:pt>
                <c:pt idx="56">
                  <c:v>-0.48985286980158804</c:v>
                </c:pt>
                <c:pt idx="57">
                  <c:v>-3.6211237197758495</c:v>
                </c:pt>
                <c:pt idx="58">
                  <c:v>0.64913761591245489</c:v>
                </c:pt>
                <c:pt idx="59">
                  <c:v>4.820075805896245</c:v>
                </c:pt>
                <c:pt idx="60">
                  <c:v>0.178854739592337</c:v>
                </c:pt>
                <c:pt idx="61">
                  <c:v>1.616711302526884</c:v>
                </c:pt>
                <c:pt idx="62">
                  <c:v>2.5804361685614223</c:v>
                </c:pt>
                <c:pt idx="63">
                  <c:v>3.7397789550070231</c:v>
                </c:pt>
                <c:pt idx="64">
                  <c:v>-1.6889067011321286</c:v>
                </c:pt>
                <c:pt idx="65">
                  <c:v>2.0289843724133982</c:v>
                </c:pt>
                <c:pt idx="66">
                  <c:v>-3.2713919455613496</c:v>
                </c:pt>
                <c:pt idx="67">
                  <c:v>-4.5193515073213071</c:v>
                </c:pt>
                <c:pt idx="68">
                  <c:v>-2.2333872665029455</c:v>
                </c:pt>
                <c:pt idx="69">
                  <c:v>4.6712859460374219</c:v>
                </c:pt>
                <c:pt idx="70">
                  <c:v>3.7342566885495803</c:v>
                </c:pt>
                <c:pt idx="71">
                  <c:v>-1.385005652549852</c:v>
                </c:pt>
                <c:pt idx="72">
                  <c:v>2.6626331787243522</c:v>
                </c:pt>
                <c:pt idx="73">
                  <c:v>0.58235188199717225</c:v>
                </c:pt>
                <c:pt idx="74">
                  <c:v>1.440181047705793</c:v>
                </c:pt>
                <c:pt idx="75">
                  <c:v>1.3445009348953745</c:v>
                </c:pt>
                <c:pt idx="76">
                  <c:v>-5.5648305522943531E-2</c:v>
                </c:pt>
                <c:pt idx="77">
                  <c:v>-1.3462928338722886</c:v>
                </c:pt>
                <c:pt idx="78">
                  <c:v>-2.7594339327457469</c:v>
                </c:pt>
                <c:pt idx="79">
                  <c:v>-4.532370650477513</c:v>
                </c:pt>
                <c:pt idx="80">
                  <c:v>0.33363888930173324</c:v>
                </c:pt>
                <c:pt idx="81">
                  <c:v>-0.46921324802261477</c:v>
                </c:pt>
                <c:pt idx="82">
                  <c:v>0.23154888695662201</c:v>
                </c:pt>
                <c:pt idx="83">
                  <c:v>0.67128594603742187</c:v>
                </c:pt>
                <c:pt idx="84">
                  <c:v>1.7021370577665111</c:v>
                </c:pt>
                <c:pt idx="85">
                  <c:v>-2.4119683928311471</c:v>
                </c:pt>
                <c:pt idx="86">
                  <c:v>-0.45183853006953001</c:v>
                </c:pt>
                <c:pt idx="87">
                  <c:v>-1.6277831004003263</c:v>
                </c:pt>
                <c:pt idx="88">
                  <c:v>4.1686693748326036</c:v>
                </c:pt>
                <c:pt idx="89">
                  <c:v>-4.4455442167369892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2B-4782-AE1B-CF3BA285D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882207"/>
        <c:axId val="235881247"/>
      </c:scatterChart>
      <c:valAx>
        <c:axId val="235882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1/Y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low"/>
        <c:crossAx val="235881247"/>
        <c:crosses val="autoZero"/>
        <c:crossBetween val="midCat"/>
      </c:valAx>
      <c:valAx>
        <c:axId val="235881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2358822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3</xdr:row>
      <xdr:rowOff>14285</xdr:rowOff>
    </xdr:from>
    <xdr:to>
      <xdr:col>13</xdr:col>
      <xdr:colOff>609599</xdr:colOff>
      <xdr:row>22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8C2F7-4D08-F6BE-6FF9-A6C0D0864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19048</xdr:colOff>
      <xdr:row>22</xdr:row>
      <xdr:rowOff>190500</xdr:rowOff>
    </xdr:from>
    <xdr:to>
      <xdr:col>11</xdr:col>
      <xdr:colOff>47625</xdr:colOff>
      <xdr:row>42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5B06EA-B114-795D-7310-D48A283C5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</xdr:row>
      <xdr:rowOff>4762</xdr:rowOff>
    </xdr:from>
    <xdr:to>
      <xdr:col>14</xdr:col>
      <xdr:colOff>9525</xdr:colOff>
      <xdr:row>25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2CCE50-3ED2-DDFD-669B-3B84B195F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1666874</xdr:colOff>
      <xdr:row>22</xdr:row>
      <xdr:rowOff>190500</xdr:rowOff>
    </xdr:from>
    <xdr:to>
      <xdr:col>11</xdr:col>
      <xdr:colOff>9524</xdr:colOff>
      <xdr:row>42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475B8F-9083-BC22-6E3C-5283C070A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1704974</xdr:colOff>
      <xdr:row>4</xdr:row>
      <xdr:rowOff>9525</xdr:rowOff>
    </xdr:from>
    <xdr:to>
      <xdr:col>14</xdr:col>
      <xdr:colOff>9525</xdr:colOff>
      <xdr:row>25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1312C0E-B5D0-8BAE-26EE-E7486700B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23</xdr:row>
      <xdr:rowOff>0</xdr:rowOff>
    </xdr:from>
    <xdr:to>
      <xdr:col>11</xdr:col>
      <xdr:colOff>0</xdr:colOff>
      <xdr:row>42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832477-E9DB-2725-4553-5B01976B4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3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15F73F-2CAA-7FD1-CEA8-B4420FF61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14287</xdr:colOff>
      <xdr:row>3</xdr:row>
      <xdr:rowOff>14287</xdr:rowOff>
    </xdr:from>
    <xdr:to>
      <xdr:col>19</xdr:col>
      <xdr:colOff>590550</xdr:colOff>
      <xdr:row>17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6A45190-A943-D331-C472-0F17C7437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22</xdr:row>
      <xdr:rowOff>180975</xdr:rowOff>
    </xdr:from>
    <xdr:to>
      <xdr:col>11</xdr:col>
      <xdr:colOff>38099</xdr:colOff>
      <xdr:row>41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56053B-3CCB-9A75-5265-F5DF3B2CC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180975</xdr:rowOff>
    </xdr:from>
    <xdr:to>
      <xdr:col>14</xdr:col>
      <xdr:colOff>9525</xdr:colOff>
      <xdr:row>24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88100ED-D1FD-41FC-A282-DDCDD8A78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23</xdr:row>
      <xdr:rowOff>0</xdr:rowOff>
    </xdr:from>
    <xdr:to>
      <xdr:col>11</xdr:col>
      <xdr:colOff>9525</xdr:colOff>
      <xdr:row>42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67F6CD2-3BB9-6A8F-CC57-D5712D3DA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4</xdr:row>
      <xdr:rowOff>4762</xdr:rowOff>
    </xdr:from>
    <xdr:to>
      <xdr:col>13</xdr:col>
      <xdr:colOff>600075</xdr:colOff>
      <xdr:row>25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E9C350-190D-45AD-9130-FF97BA9C5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22</xdr:row>
      <xdr:rowOff>190500</xdr:rowOff>
    </xdr:from>
    <xdr:to>
      <xdr:col>11</xdr:col>
      <xdr:colOff>9525</xdr:colOff>
      <xdr:row>42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224D82-4DE8-7ED1-E2C0-13C05E55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A908B-A899-4785-9EC0-7A9C704D76D5}" name="Таблица1" displayName="Таблица1" ref="A1:F91" totalsRowShown="0" headerRowDxfId="30">
  <autoFilter ref="A1:F91" xr:uid="{2B9A908B-A899-4785-9EC0-7A9C704D76D5}"/>
  <tableColumns count="6">
    <tableColumn id="1" xr3:uid="{82AAD034-FEE4-4D06-A24F-8C8EFE8DF5D5}" name="X" dataDxfId="29"/>
    <tableColumn id="2" xr3:uid="{EE860546-77D4-467B-8B51-ACE924C11A40}" name="Z" dataDxfId="28"/>
    <tableColumn id="3" xr3:uid="{0753CD24-9B40-4A17-91BE-076A8AA2CE61}" name="Предсказанные значения" dataDxfId="27">
      <calculatedColumnFormula>$H$3+$H$2*A2</calculatedColumnFormula>
    </tableColumn>
    <tableColumn id="4" xr3:uid="{6AAA1230-24DB-4BFC-81E7-486BC796286E}" name="Остатки" dataDxfId="26">
      <calculatedColumnFormula>ABS(Таблица1[[#This Row],[Предсказанные значения]]-Таблица1[[#This Row],[Z]])</calculatedColumnFormula>
    </tableColumn>
    <tableColumn id="5" xr3:uid="{CB572241-DB78-4099-B8B1-38BF1BCA7D14}" name="Нормированные остатки" dataDxfId="25">
      <calculatedColumnFormula>ABS(Таблица1[[#This Row],[Остатки]]/Таблица1[[#This Row],[Z]])</calculatedColumnFormula>
    </tableColumn>
    <tableColumn id="6" xr3:uid="{ABEB42DC-48B7-4FC5-BD33-0C55D91F208A}" name="Шаг остатка" dataDxfId="24">
      <calculatedColumnFormula>Таблица1[[#This Row],[Нормированные остатки]]-E3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B7C7BE-F578-40D5-945F-E9A452B05FFA}" name="Таблица2" displayName="Таблица2" ref="A1:F91" totalsRowShown="0">
  <autoFilter ref="A1:F91" xr:uid="{C8B7C7BE-F578-40D5-945F-E9A452B05FFA}"/>
  <tableColumns count="6">
    <tableColumn id="1" xr3:uid="{2BCA3C2E-458D-4C0F-B612-8569F54B4BAD}" name="X"/>
    <tableColumn id="2" xr3:uid="{806BCD06-3EEB-4CA1-8A0E-3F9D8B3B971B}" name="1/X" dataDxfId="23" dataCellStyle="Обычный">
      <calculatedColumnFormula>1/A2</calculatedColumnFormula>
    </tableColumn>
    <tableColumn id="3" xr3:uid="{4D12D812-1286-470F-871B-389D9E05BCED}" name="Z" dataDxfId="22"/>
    <tableColumn id="4" xr3:uid="{A1465DBF-C360-4E2D-AD8A-F8001E8E19D3}" name="Предсказанные значения" dataDxfId="21">
      <calculatedColumnFormula>$H$2*Таблица2[[#This Row],[1/X]]+$H$3</calculatedColumnFormula>
    </tableColumn>
    <tableColumn id="5" xr3:uid="{0562845F-F1DC-4071-B980-2AC495605A5C}" name="Остатки" dataDxfId="20">
      <calculatedColumnFormula>ABS(Таблица2[[#This Row],[Предсказанные значения]]-Таблица2[[#This Row],[Z]])</calculatedColumnFormula>
    </tableColumn>
    <tableColumn id="6" xr3:uid="{443EC070-AC78-45D5-9E6D-990FE2B32651}" name="Нормированные остатки" dataDxfId="19">
      <calculatedColumnFormula>ABS(Таблица2[[#This Row],[Остатки]]/Таблица2[[#This Row],[Z]])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8CC65A-F728-4A6B-B363-001346EE9299}" name="Таблица5" displayName="Таблица5" ref="A1:F91" totalsRowShown="0">
  <autoFilter ref="A1:F91" xr:uid="{5D8CC65A-F728-4A6B-B363-001346EE9299}"/>
  <tableColumns count="6">
    <tableColumn id="1" xr3:uid="{F1E75092-FEB7-4A79-A614-7863964C071B}" name="X"/>
    <tableColumn id="2" xr3:uid="{FC7A1B38-D44C-4FEE-8E9E-D7F3EB683C6E}" name="ln(X)" dataDxfId="18">
      <calculatedColumnFormula>LN(A2)</calculatedColumnFormula>
    </tableColumn>
    <tableColumn id="3" xr3:uid="{6F7335AA-4BC5-4114-90E0-E36F68B92524}" name="Z"/>
    <tableColumn id="4" xr3:uid="{F386DF16-F436-456E-AB82-02F8083EDA46}" name="Предсказанные значения" dataDxfId="17">
      <calculatedColumnFormula>B2*$H$2+$H$3</calculatedColumnFormula>
    </tableColumn>
    <tableColumn id="5" xr3:uid="{47F3A790-645E-47EF-A68C-FA2C4F446BA7}" name="Остатки" dataDxfId="16">
      <calculatedColumnFormula>ABS(D2-C2)</calculatedColumnFormula>
    </tableColumn>
    <tableColumn id="6" xr3:uid="{105671DE-8D85-43AB-A983-50CF45C33B74}" name="Нормированные остатки" dataDxfId="15">
      <calculatedColumnFormula>ABS(E2/C2)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612D07-55DC-45B0-81CA-749C25142C0E}" name="Таблица7" displayName="Таблица7" ref="A1:F91" totalsRowShown="0">
  <autoFilter ref="A1:F91" xr:uid="{29612D07-55DC-45B0-81CA-749C25142C0E}"/>
  <tableColumns count="6">
    <tableColumn id="1" xr3:uid="{25A38700-68AA-4522-B235-C6258B001BF0}" name="Y"/>
    <tableColumn id="2" xr3:uid="{F5310B3C-6315-4DE6-8B09-E5DE27BD7ABB}" name="Z" dataDxfId="14"/>
    <tableColumn id="3" xr3:uid="{FB250FC0-8FAD-457F-AAA0-1CB1DE0CBFF1}" name="Предсказанные значения" dataDxfId="13">
      <calculatedColumnFormula>$H$3+$H$2*A2</calculatedColumnFormula>
    </tableColumn>
    <tableColumn id="4" xr3:uid="{0D5B05DA-043F-43B0-9DDE-DD535D513011}" name="Остатки" dataDxfId="12">
      <calculatedColumnFormula>ABS(Таблица7[[#This Row],[Предсказанные значения]]-Таблица7[[#This Row],[Z]])</calculatedColumnFormula>
    </tableColumn>
    <tableColumn id="5" xr3:uid="{3A849112-505B-4AA0-B6C4-B8B6F0C51E48}" name="Нормированные остатки" dataDxfId="11">
      <calculatedColumnFormula>ABS(Таблица7[[#This Row],[Остатки]]/Таблица7[[#This Row],[Z]])</calculatedColumnFormula>
    </tableColumn>
    <tableColumn id="6" xr3:uid="{3B85A357-1A12-4DF6-AC32-A56B42526938}" name="Шаг остатка" dataDxfId="10">
      <calculatedColumnFormula>Таблица7[[#This Row],[Нормированные остатки]]-E3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8712C7-71CA-4A07-A3EE-5E09DC13E841}" name="Таблица245" displayName="Таблица245" ref="A1:F91" totalsRowShown="0">
  <autoFilter ref="A1:F91" xr:uid="{DD8712C7-71CA-4A07-A3EE-5E09DC13E841}"/>
  <tableColumns count="6">
    <tableColumn id="1" xr3:uid="{64F86DD0-57D2-464A-B4B0-0C87B53722EA}" name="Y"/>
    <tableColumn id="2" xr3:uid="{D540BE18-ECF1-416E-AE57-046C64BAA820}" name="exp(-0.01Y)" dataDxfId="9" dataCellStyle="Обычный">
      <calculatedColumnFormula>EXP(-0.01*A2)</calculatedColumnFormula>
    </tableColumn>
    <tableColumn id="3" xr3:uid="{80D508ED-9561-4C68-85B4-0D7DA0B6AF8C}" name="Z" dataDxfId="8"/>
    <tableColumn id="4" xr3:uid="{CD228E6F-1503-4157-931C-2D070660472A}" name="Предсказанные значения" dataDxfId="7">
      <calculatedColumnFormula>$H$2*Таблица245[[#This Row],[exp(-0.01Y)]]+$H$3</calculatedColumnFormula>
    </tableColumn>
    <tableColumn id="5" xr3:uid="{CA8F57EC-BCE8-48DA-8A27-204EF2420DFB}" name="Остатки" dataDxfId="6">
      <calculatedColumnFormula>ABS(Таблица245[[#This Row],[Предсказанные значения]]-Таблица245[[#This Row],[Z]])</calculatedColumnFormula>
    </tableColumn>
    <tableColumn id="6" xr3:uid="{B33EF9B3-02FC-4D61-AFAE-5320B8667B6C}" name="Нормированные остатки" dataDxfId="5">
      <calculatedColumnFormula>ABS(Таблица245[[#This Row],[Остатки]]/Таблица245[[#This Row],[Z]])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057D3A-35EB-48A8-86D0-C706AB7BDABD}" name="Таблица24" displayName="Таблица24" ref="A1:F91" totalsRowShown="0">
  <autoFilter ref="A1:F91" xr:uid="{F3057D3A-35EB-48A8-86D0-C706AB7BDABD}"/>
  <tableColumns count="6">
    <tableColumn id="1" xr3:uid="{BFC69F5E-8D8C-4099-A6C8-8AD348FE54DD}" name="Y"/>
    <tableColumn id="2" xr3:uid="{6A5AC425-0946-449E-966C-118B30B8D848}" name="1/Y" dataDxfId="4" dataCellStyle="Обычный">
      <calculatedColumnFormula>1/A2</calculatedColumnFormula>
    </tableColumn>
    <tableColumn id="3" xr3:uid="{CE581E64-E696-41FB-9D1B-BA2BC05F0F05}" name="Z" dataDxfId="3"/>
    <tableColumn id="4" xr3:uid="{5A211F6B-BBCA-45B3-8CAB-D70A4CC9B003}" name="Предсказанные значения" dataDxfId="2">
      <calculatedColumnFormula>$H$2*Таблица24[[#This Row],[1/Y]]+$H$3</calculatedColumnFormula>
    </tableColumn>
    <tableColumn id="5" xr3:uid="{6FAA51EE-7ABD-4C12-B933-BDAD1B9EA23C}" name="Остатки" dataDxfId="1">
      <calculatedColumnFormula>ABS(Таблица24[[#This Row],[Предсказанные значения]]-Таблица24[[#This Row],[Z]])</calculatedColumnFormula>
    </tableColumn>
    <tableColumn id="6" xr3:uid="{1757971F-E169-4A03-8327-BA0F23597DA0}" name="Нормированные остатки" dataDxfId="0">
      <calculatedColumnFormula>ABS(Таблица24[[#This Row],[Остатки]]/Таблица24[[#This Row],[Z]])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E101-E243-4F2D-AAE3-D4ADA1760431}">
  <dimension ref="A1:I91"/>
  <sheetViews>
    <sheetView zoomScaleNormal="100" workbookViewId="0">
      <selection activeCell="G43" sqref="G43"/>
    </sheetView>
  </sheetViews>
  <sheetFormatPr defaultRowHeight="15" x14ac:dyDescent="0.25"/>
  <cols>
    <col min="3" max="3" width="27.140625" bestFit="1" customWidth="1"/>
    <col min="5" max="5" width="26.5703125" bestFit="1" customWidth="1"/>
    <col min="6" max="6" width="14" bestFit="1" customWidth="1"/>
    <col min="7" max="7" width="35.140625" bestFit="1" customWidth="1"/>
    <col min="8" max="8" width="16.7109375" bestFit="1" customWidth="1"/>
  </cols>
  <sheetData>
    <row r="1" spans="1:9" x14ac:dyDescent="0.25">
      <c r="A1" s="7" t="s">
        <v>0</v>
      </c>
      <c r="B1" s="7" t="s">
        <v>2</v>
      </c>
      <c r="C1" s="7" t="s">
        <v>61</v>
      </c>
      <c r="D1" s="7" t="s">
        <v>29</v>
      </c>
      <c r="E1" s="7" t="s">
        <v>37</v>
      </c>
      <c r="F1" s="7" t="s">
        <v>40</v>
      </c>
      <c r="G1" s="8" t="s">
        <v>20</v>
      </c>
      <c r="H1" s="8" t="s">
        <v>39</v>
      </c>
      <c r="I1" s="8" t="s">
        <v>35</v>
      </c>
    </row>
    <row r="2" spans="1:9" x14ac:dyDescent="0.25">
      <c r="A2">
        <v>25</v>
      </c>
      <c r="B2">
        <v>-7</v>
      </c>
      <c r="C2" s="4">
        <f t="shared" ref="C2:C33" si="0">$H$3+$H$2*A2</f>
        <v>-5.5206500758580699</v>
      </c>
      <c r="D2" s="4">
        <f>ABS(Таблица1[[#This Row],[Предсказанные значения]]-Таблица1[[#This Row],[Z]])</f>
        <v>1.4793499241419301</v>
      </c>
      <c r="E2" s="4">
        <f>ABS(Таблица1[[#This Row],[Остатки]]/Таблица1[[#This Row],[Z]])</f>
        <v>0.21133570344884717</v>
      </c>
      <c r="F2" s="4">
        <f>Таблица1[[#This Row],[Нормированные остатки]]-E3</f>
        <v>0.12818202002985912</v>
      </c>
      <c r="G2" s="8" t="s">
        <v>55</v>
      </c>
      <c r="H2" s="10">
        <v>8.8964438054538804E-4</v>
      </c>
      <c r="I2" s="8" t="s">
        <v>33</v>
      </c>
    </row>
    <row r="3" spans="1:9" x14ac:dyDescent="0.25">
      <c r="A3">
        <v>47</v>
      </c>
      <c r="B3">
        <v>-6</v>
      </c>
      <c r="C3" s="4">
        <f t="shared" si="0"/>
        <v>-5.5010778994860718</v>
      </c>
      <c r="D3" s="4">
        <f>ABS(Таблица1[[#This Row],[Предсказанные значения]]-Таблица1[[#This Row],[Z]])</f>
        <v>0.49892210051392816</v>
      </c>
      <c r="E3" s="4">
        <f>ABS(Таблица1[[#This Row],[Остатки]]/Таблица1[[#This Row],[Z]])</f>
        <v>8.3153683418988031E-2</v>
      </c>
      <c r="F3" s="4">
        <f>Таблица1[[#This Row],[Нормированные остатки]]-E4</f>
        <v>-0.36629370444213211</v>
      </c>
      <c r="G3" s="8" t="s">
        <v>32</v>
      </c>
      <c r="H3" s="9">
        <v>-5.5428911853717047</v>
      </c>
      <c r="I3" s="8" t="s">
        <v>34</v>
      </c>
    </row>
    <row r="4" spans="1:9" x14ac:dyDescent="0.25">
      <c r="A4">
        <v>42</v>
      </c>
      <c r="B4">
        <v>-10</v>
      </c>
      <c r="C4" s="4">
        <f t="shared" si="0"/>
        <v>-5.5055261213887983</v>
      </c>
      <c r="D4" s="4">
        <f>ABS(Таблица1[[#This Row],[Предсказанные значения]]-Таблица1[[#This Row],[Z]])</f>
        <v>4.4944738786112017</v>
      </c>
      <c r="E4" s="4">
        <f>ABS(Таблица1[[#This Row],[Остатки]]/Таблица1[[#This Row],[Z]])</f>
        <v>0.44944738786112015</v>
      </c>
      <c r="F4" s="4">
        <f>Таблица1[[#This Row],[Нормированные остатки]]-E5</f>
        <v>-4.05963731104986</v>
      </c>
    </row>
    <row r="5" spans="1:9" x14ac:dyDescent="0.25">
      <c r="A5">
        <v>38</v>
      </c>
      <c r="B5">
        <v>-1</v>
      </c>
      <c r="C5" s="4">
        <f t="shared" si="0"/>
        <v>-5.5090846989109803</v>
      </c>
      <c r="D5" s="4">
        <f>ABS(Таблица1[[#This Row],[Предсказанные значения]]-Таблица1[[#This Row],[Z]])</f>
        <v>4.5090846989109803</v>
      </c>
      <c r="E5" s="4">
        <f>ABS(Таблица1[[#This Row],[Остатки]]/Таблица1[[#This Row],[Z]])</f>
        <v>4.5090846989109803</v>
      </c>
      <c r="F5" s="4">
        <f>Таблица1[[#This Row],[Нормированные остатки]]-E6</f>
        <v>2.7509837719333086</v>
      </c>
    </row>
    <row r="6" spans="1:9" x14ac:dyDescent="0.25">
      <c r="A6">
        <v>30</v>
      </c>
      <c r="B6">
        <v>-2</v>
      </c>
      <c r="C6" s="4">
        <f t="shared" si="0"/>
        <v>-5.5162018539553435</v>
      </c>
      <c r="D6" s="4">
        <f>ABS(Таблица1[[#This Row],[Предсказанные значения]]-Таблица1[[#This Row],[Z]])</f>
        <v>3.5162018539553435</v>
      </c>
      <c r="E6" s="4">
        <f>ABS(Таблица1[[#This Row],[Остатки]]/Таблица1[[#This Row],[Z]])</f>
        <v>1.7581009269776717</v>
      </c>
      <c r="F6" s="4">
        <f>Таблица1[[#This Row],[Нормированные остатки]]-E7</f>
        <v>1.6774679026368957</v>
      </c>
    </row>
    <row r="7" spans="1:9" x14ac:dyDescent="0.25">
      <c r="A7">
        <v>30</v>
      </c>
      <c r="B7">
        <v>-6</v>
      </c>
      <c r="C7" s="4">
        <f t="shared" si="0"/>
        <v>-5.5162018539553435</v>
      </c>
      <c r="D7" s="4">
        <f>ABS(Таблица1[[#This Row],[Предсказанные значения]]-Таблица1[[#This Row],[Z]])</f>
        <v>0.48379814604465654</v>
      </c>
      <c r="E7" s="4">
        <f>ABS(Таблица1[[#This Row],[Остатки]]/Таблица1[[#This Row],[Z]])</f>
        <v>8.0633024340776085E-2</v>
      </c>
      <c r="F7" s="4">
        <f>Таблица1[[#This Row],[Нормированные остатки]]-E8</f>
        <v>-2.965481268485809E-4</v>
      </c>
    </row>
    <row r="8" spans="1:9" x14ac:dyDescent="0.25">
      <c r="A8">
        <v>32</v>
      </c>
      <c r="B8">
        <v>-6</v>
      </c>
      <c r="C8" s="4">
        <f t="shared" si="0"/>
        <v>-5.514422565194252</v>
      </c>
      <c r="D8" s="4">
        <f>ABS(Таблица1[[#This Row],[Предсказанные значения]]-Таблица1[[#This Row],[Z]])</f>
        <v>0.485577434805748</v>
      </c>
      <c r="E8" s="4">
        <f>ABS(Таблица1[[#This Row],[Остатки]]/Таблица1[[#This Row],[Z]])</f>
        <v>8.0929572467624666E-2</v>
      </c>
      <c r="F8" s="4">
        <f>Таблица1[[#This Row],[Нормированные остатки]]-E9</f>
        <v>-2.0887367314571387E-2</v>
      </c>
    </row>
    <row r="9" spans="1:9" x14ac:dyDescent="0.25">
      <c r="A9">
        <v>38</v>
      </c>
      <c r="B9">
        <v>-5</v>
      </c>
      <c r="C9" s="4">
        <f t="shared" si="0"/>
        <v>-5.5090846989109803</v>
      </c>
      <c r="D9" s="4">
        <f>ABS(Таблица1[[#This Row],[Предсказанные значения]]-Таблица1[[#This Row],[Z]])</f>
        <v>0.50908469891098029</v>
      </c>
      <c r="E9" s="4">
        <f>ABS(Таблица1[[#This Row],[Остатки]]/Таблица1[[#This Row],[Z]])</f>
        <v>0.10181693978219605</v>
      </c>
      <c r="F9" s="4">
        <f>Таблица1[[#This Row],[Нормированные остатки]]-E10</f>
        <v>-0.3469187325744878</v>
      </c>
    </row>
    <row r="10" spans="1:9" x14ac:dyDescent="0.25">
      <c r="A10">
        <v>34</v>
      </c>
      <c r="B10">
        <v>-10</v>
      </c>
      <c r="C10" s="4">
        <f t="shared" si="0"/>
        <v>-5.5126432764331614</v>
      </c>
      <c r="D10" s="4">
        <f>ABS(Таблица1[[#This Row],[Предсказанные значения]]-Таблица1[[#This Row],[Z]])</f>
        <v>4.4873567235668386</v>
      </c>
      <c r="E10" s="4">
        <f>ABS(Таблица1[[#This Row],[Остатки]]/Таблица1[[#This Row],[Z]])</f>
        <v>0.44873567235668388</v>
      </c>
      <c r="F10" s="4">
        <f>Таблица1[[#This Row],[Нормированные остатки]]-E11</f>
        <v>7.0574853248393521E-2</v>
      </c>
    </row>
    <row r="11" spans="1:9" x14ac:dyDescent="0.25">
      <c r="A11">
        <v>34</v>
      </c>
      <c r="B11">
        <v>-4</v>
      </c>
      <c r="C11" s="4">
        <f t="shared" si="0"/>
        <v>-5.5126432764331614</v>
      </c>
      <c r="D11" s="4">
        <f>ABS(Таблица1[[#This Row],[Предсказанные значения]]-Таблица1[[#This Row],[Z]])</f>
        <v>1.5126432764331614</v>
      </c>
      <c r="E11" s="4">
        <f>ABS(Таблица1[[#This Row],[Остатки]]/Таблица1[[#This Row],[Z]])</f>
        <v>0.37816081910829036</v>
      </c>
      <c r="F11" s="4">
        <f>Таблица1[[#This Row],[Нормированные остатки]]-E12</f>
        <v>-1.0015206917338149E-2</v>
      </c>
    </row>
    <row r="12" spans="1:9" x14ac:dyDescent="0.25">
      <c r="A12">
        <v>41</v>
      </c>
      <c r="B12">
        <v>-9</v>
      </c>
      <c r="C12" s="4">
        <f t="shared" si="0"/>
        <v>-5.5064157657693436</v>
      </c>
      <c r="D12" s="4">
        <f>ABS(Таблица1[[#This Row],[Предсказанные значения]]-Таблица1[[#This Row],[Z]])</f>
        <v>3.4935842342306564</v>
      </c>
      <c r="E12" s="4">
        <f>ABS(Таблица1[[#This Row],[Остатки]]/Таблица1[[#This Row],[Z]])</f>
        <v>0.38817602602562851</v>
      </c>
      <c r="F12" s="4">
        <f>Таблица1[[#This Row],[Нормированные остатки]]-E13</f>
        <v>0.28618115736732341</v>
      </c>
    </row>
    <row r="13" spans="1:9" x14ac:dyDescent="0.25">
      <c r="A13">
        <v>37</v>
      </c>
      <c r="B13">
        <v>-5</v>
      </c>
      <c r="C13" s="4">
        <f t="shared" si="0"/>
        <v>-5.5099743432915256</v>
      </c>
      <c r="D13" s="4">
        <f>ABS(Таблица1[[#This Row],[Предсказанные значения]]-Таблица1[[#This Row],[Z]])</f>
        <v>0.50997434329152558</v>
      </c>
      <c r="E13" s="4">
        <f>ABS(Таблица1[[#This Row],[Остатки]]/Таблица1[[#This Row],[Z]])</f>
        <v>0.10199486865830512</v>
      </c>
      <c r="F13" s="4">
        <f>Таблица1[[#This Row],[Нормированные остатки]]-E14</f>
        <v>-0.11112012355163287</v>
      </c>
    </row>
    <row r="14" spans="1:9" x14ac:dyDescent="0.25">
      <c r="A14">
        <v>39</v>
      </c>
      <c r="B14">
        <v>-7</v>
      </c>
      <c r="C14" s="4">
        <f t="shared" si="0"/>
        <v>-5.5081950545304341</v>
      </c>
      <c r="D14" s="4">
        <f>ABS(Таблица1[[#This Row],[Предсказанные значения]]-Таблица1[[#This Row],[Z]])</f>
        <v>1.4918049454695659</v>
      </c>
      <c r="E14" s="4">
        <f>ABS(Таблица1[[#This Row],[Остатки]]/Таблица1[[#This Row],[Z]])</f>
        <v>0.21311499220993799</v>
      </c>
      <c r="F14" s="4">
        <f>Таблица1[[#This Row],[Нормированные остатки]]-E15</f>
        <v>-0.62383967034741894</v>
      </c>
    </row>
    <row r="15" spans="1:9" x14ac:dyDescent="0.25">
      <c r="A15">
        <v>36</v>
      </c>
      <c r="B15">
        <v>-3</v>
      </c>
      <c r="C15" s="4">
        <f t="shared" si="0"/>
        <v>-5.5108639876720709</v>
      </c>
      <c r="D15" s="4">
        <f>ABS(Таблица1[[#This Row],[Предсказанные значения]]-Таблица1[[#This Row],[Z]])</f>
        <v>2.5108639876720709</v>
      </c>
      <c r="E15" s="4">
        <f>ABS(Таблица1[[#This Row],[Остатки]]/Таблица1[[#This Row],[Z]])</f>
        <v>0.83695466255735695</v>
      </c>
      <c r="F15" s="4">
        <f>Таблица1[[#This Row],[Нормированные остатки]]-E16</f>
        <v>0.38821899020067308</v>
      </c>
    </row>
    <row r="16" spans="1:9" x14ac:dyDescent="0.25">
      <c r="A16">
        <v>34</v>
      </c>
      <c r="B16">
        <v>-10</v>
      </c>
      <c r="C16" s="4">
        <f t="shared" si="0"/>
        <v>-5.5126432764331614</v>
      </c>
      <c r="D16" s="4">
        <f>ABS(Таблица1[[#This Row],[Предсказанные значения]]-Таблица1[[#This Row],[Z]])</f>
        <v>4.4873567235668386</v>
      </c>
      <c r="E16" s="4">
        <f>ABS(Таблица1[[#This Row],[Остатки]]/Таблица1[[#This Row],[Z]])</f>
        <v>0.44873567235668388</v>
      </c>
      <c r="F16" s="4">
        <f>Таблица1[[#This Row],[Нормированные остатки]]-E17</f>
        <v>-4.0683558259792045</v>
      </c>
    </row>
    <row r="17" spans="1:9" x14ac:dyDescent="0.25">
      <c r="A17">
        <v>29</v>
      </c>
      <c r="B17">
        <v>-1</v>
      </c>
      <c r="C17" s="4">
        <f t="shared" si="0"/>
        <v>-5.5170914983358887</v>
      </c>
      <c r="D17" s="4">
        <f>ABS(Таблица1[[#This Row],[Предсказанные значения]]-Таблица1[[#This Row],[Z]])</f>
        <v>4.5170914983358887</v>
      </c>
      <c r="E17" s="4">
        <f>ABS(Таблица1[[#This Row],[Остатки]]/Таблица1[[#This Row],[Z]])</f>
        <v>4.5170914983358887</v>
      </c>
      <c r="F17" s="4">
        <f>Таблица1[[#This Row],[Нормированные остатки]]-E18</f>
        <v>3.6786540951442896</v>
      </c>
    </row>
    <row r="18" spans="1:9" x14ac:dyDescent="0.25">
      <c r="A18">
        <v>31</v>
      </c>
      <c r="B18">
        <v>-3</v>
      </c>
      <c r="C18" s="4">
        <f t="shared" si="0"/>
        <v>-5.5153122095747973</v>
      </c>
      <c r="D18" s="4">
        <f>ABS(Таблица1[[#This Row],[Предсказанные значения]]-Таблица1[[#This Row],[Z]])</f>
        <v>2.5153122095747973</v>
      </c>
      <c r="E18" s="4">
        <f>ABS(Таблица1[[#This Row],[Остатки]]/Таблица1[[#This Row],[Z]])</f>
        <v>0.8384374031915991</v>
      </c>
      <c r="F18" s="4">
        <f>Таблица1[[#This Row],[Нормированные остатки]]-E19</f>
        <v>0.73715425003773039</v>
      </c>
    </row>
    <row r="19" spans="1:9" x14ac:dyDescent="0.25">
      <c r="A19">
        <v>41</v>
      </c>
      <c r="B19">
        <v>-5</v>
      </c>
      <c r="C19" s="4">
        <f t="shared" si="0"/>
        <v>-5.5064157657693436</v>
      </c>
      <c r="D19" s="4">
        <f>ABS(Таблица1[[#This Row],[Предсказанные значения]]-Таблица1[[#This Row],[Z]])</f>
        <v>0.50641576576934355</v>
      </c>
      <c r="E19" s="4">
        <f>ABS(Таблица1[[#This Row],[Остатки]]/Таблица1[[#This Row],[Z]])</f>
        <v>0.10128315315386871</v>
      </c>
      <c r="F19" s="4">
        <f>Таблица1[[#This Row],[Нормированные остатки]]-E20</f>
        <v>-4.626150778836019E-3</v>
      </c>
    </row>
    <row r="20" spans="1:9" x14ac:dyDescent="0.25">
      <c r="A20">
        <v>15</v>
      </c>
      <c r="B20">
        <v>-5</v>
      </c>
      <c r="C20" s="4">
        <f t="shared" si="0"/>
        <v>-5.5295465196635236</v>
      </c>
      <c r="D20" s="4">
        <f>ABS(Таблица1[[#This Row],[Предсказанные значения]]-Таблица1[[#This Row],[Z]])</f>
        <v>0.52954651966352362</v>
      </c>
      <c r="E20" s="4">
        <f>ABS(Таблица1[[#This Row],[Остатки]]/Таблица1[[#This Row],[Z]])</f>
        <v>0.10590930393270473</v>
      </c>
      <c r="F20" s="4">
        <f>Таблица1[[#This Row],[Нормированные остатки]]-E21</f>
        <v>-4.4129614831642749</v>
      </c>
    </row>
    <row r="21" spans="1:9" x14ac:dyDescent="0.25">
      <c r="A21">
        <v>27</v>
      </c>
      <c r="B21">
        <v>-1</v>
      </c>
      <c r="C21" s="4">
        <f t="shared" si="0"/>
        <v>-5.5188707870969793</v>
      </c>
      <c r="D21" s="4">
        <f>ABS(Таблица1[[#This Row],[Предсказанные значения]]-Таблица1[[#This Row],[Z]])</f>
        <v>4.5188707870969793</v>
      </c>
      <c r="E21" s="4">
        <f>ABS(Таблица1[[#This Row],[Остатки]]/Таблица1[[#This Row],[Z]])</f>
        <v>4.5188707870969793</v>
      </c>
      <c r="F21" s="4">
        <f>Таблица1[[#This Row],[Нормированные остатки]]-E22</f>
        <v>-1.9830967567696378</v>
      </c>
    </row>
    <row r="22" spans="1:9" x14ac:dyDescent="0.25">
      <c r="A22">
        <v>46</v>
      </c>
      <c r="B22">
        <v>1</v>
      </c>
      <c r="C22" s="4">
        <f t="shared" si="0"/>
        <v>-5.5019675438666171</v>
      </c>
      <c r="D22" s="4">
        <f>ABS(Таблица1[[#This Row],[Предсказанные значения]]-Таблица1[[#This Row],[Z]])</f>
        <v>6.5019675438666171</v>
      </c>
      <c r="E22" s="4">
        <f>ABS(Таблица1[[#This Row],[Остатки]]/Таблица1[[#This Row],[Z]])</f>
        <v>6.5019675438666171</v>
      </c>
      <c r="F22" s="4">
        <f>Таблица1[[#This Row],[Нормированные остатки]]-E23</f>
        <v>6.0532318715099329</v>
      </c>
    </row>
    <row r="23" spans="1:9" x14ac:dyDescent="0.25">
      <c r="A23">
        <v>34</v>
      </c>
      <c r="B23">
        <v>-10</v>
      </c>
      <c r="C23" s="4">
        <f t="shared" si="0"/>
        <v>-5.5126432764331614</v>
      </c>
      <c r="D23" s="4">
        <f>ABS(Таблица1[[#This Row],[Предсказанные значения]]-Таблица1[[#This Row],[Z]])</f>
        <v>4.4873567235668386</v>
      </c>
      <c r="E23" s="4">
        <f>ABS(Таблица1[[#This Row],[Остатки]]/Таблица1[[#This Row],[Z]])</f>
        <v>0.44873567235668388</v>
      </c>
      <c r="F23" s="4">
        <f>Таблица1[[#This Row],[Нормированные остатки]]-E24</f>
        <v>-0.38732934582012746</v>
      </c>
    </row>
    <row r="24" spans="1:9" x14ac:dyDescent="0.25">
      <c r="A24">
        <v>39</v>
      </c>
      <c r="B24">
        <v>-3</v>
      </c>
      <c r="C24" s="4">
        <f t="shared" si="0"/>
        <v>-5.5081950545304341</v>
      </c>
      <c r="D24" s="4">
        <f>ABS(Таблица1[[#This Row],[Предсказанные значения]]-Таблица1[[#This Row],[Z]])</f>
        <v>2.5081950545304341</v>
      </c>
      <c r="E24" s="4">
        <f>ABS(Таблица1[[#This Row],[Остатки]]/Таблица1[[#This Row],[Z]])</f>
        <v>0.83606501817681134</v>
      </c>
      <c r="F24" s="4">
        <f>Таблица1[[#This Row],[Нормированные остатки]]-E25</f>
        <v>0.4470981971462536</v>
      </c>
      <c r="G24" s="8" t="s">
        <v>36</v>
      </c>
      <c r="H24" s="10">
        <f>SUM(Таблица1[Нормированные остатки])/COUNT(Таблица1[X])</f>
        <v>0.92634229328113837</v>
      </c>
      <c r="I24" t="s">
        <v>65</v>
      </c>
    </row>
    <row r="25" spans="1:9" x14ac:dyDescent="0.25">
      <c r="A25">
        <v>49</v>
      </c>
      <c r="B25">
        <v>-9</v>
      </c>
      <c r="C25" s="4">
        <f t="shared" si="0"/>
        <v>-5.4992986107249804</v>
      </c>
      <c r="D25" s="4">
        <f>ABS(Таблица1[[#This Row],[Предсказанные значения]]-Таблица1[[#This Row],[Z]])</f>
        <v>3.5007013892750196</v>
      </c>
      <c r="E25" s="4">
        <f>ABS(Таблица1[[#This Row],[Остатки]]/Таблица1[[#This Row],[Z]])</f>
        <v>0.38896682103055774</v>
      </c>
      <c r="F25" s="4">
        <f>Таблица1[[#This Row],[Нормированные остатки]]-E26</f>
        <v>0.30951998919717538</v>
      </c>
      <c r="G25" s="8" t="s">
        <v>38</v>
      </c>
      <c r="H25" s="10">
        <f>H2*AVERAGE(Таблица1[X])/AVERAGE(Таблица1[Z])</f>
        <v>-5.7665457327689962E-3</v>
      </c>
    </row>
    <row r="26" spans="1:9" x14ac:dyDescent="0.25">
      <c r="A26">
        <v>22</v>
      </c>
      <c r="B26">
        <v>-6</v>
      </c>
      <c r="C26" s="4">
        <f t="shared" si="0"/>
        <v>-5.5233190089997057</v>
      </c>
      <c r="D26" s="4">
        <f>ABS(Таблица1[[#This Row],[Предсказанные значения]]-Таблица1[[#This Row],[Z]])</f>
        <v>0.47668099100029426</v>
      </c>
      <c r="E26" s="4">
        <f>ABS(Таблица1[[#This Row],[Остатки]]/Таблица1[[#This Row],[Z]])</f>
        <v>7.9446831833382373E-2</v>
      </c>
      <c r="F26" s="4">
        <f>Таблица1[[#This Row],[Нормированные остатки]]-E27</f>
        <v>-1.6706472957193805</v>
      </c>
    </row>
    <row r="27" spans="1:9" x14ac:dyDescent="0.25">
      <c r="A27">
        <v>48</v>
      </c>
      <c r="B27">
        <v>-2</v>
      </c>
      <c r="C27" s="4">
        <f t="shared" si="0"/>
        <v>-5.5001882551055257</v>
      </c>
      <c r="D27" s="4">
        <f>ABS(Таблица1[[#This Row],[Предсказанные значения]]-Таблица1[[#This Row],[Z]])</f>
        <v>3.5001882551055257</v>
      </c>
      <c r="E27" s="4">
        <f>ABS(Таблица1[[#This Row],[Остатки]]/Таблица1[[#This Row],[Z]])</f>
        <v>1.7500941275527628</v>
      </c>
      <c r="F27" s="4">
        <f>Таблица1[[#This Row],[Нормированные остатки]]-E28</f>
        <v>-8.0067994249088947E-3</v>
      </c>
      <c r="G27" s="8" t="s">
        <v>57</v>
      </c>
      <c r="H27" s="8" t="s">
        <v>56</v>
      </c>
    </row>
    <row r="28" spans="1:9" x14ac:dyDescent="0.25">
      <c r="A28">
        <v>30</v>
      </c>
      <c r="B28">
        <v>-2</v>
      </c>
      <c r="C28" s="4">
        <f t="shared" si="0"/>
        <v>-5.5162018539553435</v>
      </c>
      <c r="D28" s="4">
        <f>ABS(Таблица1[[#This Row],[Предсказанные значения]]-Таблица1[[#This Row],[Z]])</f>
        <v>3.5162018539553435</v>
      </c>
      <c r="E28" s="4">
        <f>ABS(Таблица1[[#This Row],[Остатки]]/Таблица1[[#This Row],[Z]])</f>
        <v>1.7581009269776717</v>
      </c>
      <c r="F28" s="4">
        <f>Таблица1[[#This Row],[Нормированные остатки]]-E29</f>
        <v>1.4477373642696578</v>
      </c>
      <c r="G28" s="8" t="s">
        <v>41</v>
      </c>
      <c r="H28" s="10">
        <f>AVERAGE(Таблица1[Остатки])/COUNT(Таблица1[X])</f>
        <v>2.8644721124631328E-2</v>
      </c>
    </row>
    <row r="29" spans="1:9" x14ac:dyDescent="0.25">
      <c r="A29">
        <v>29</v>
      </c>
      <c r="B29">
        <v>-8</v>
      </c>
      <c r="C29" s="4">
        <f t="shared" si="0"/>
        <v>-5.5170914983358887</v>
      </c>
      <c r="D29" s="4">
        <f>ABS(Таблица1[[#This Row],[Предсказанные значения]]-Таблица1[[#This Row],[Z]])</f>
        <v>2.4829085016641113</v>
      </c>
      <c r="E29" s="4">
        <f>ABS(Таблица1[[#This Row],[Остатки]]/Таблица1[[#This Row],[Z]])</f>
        <v>0.31036356270801391</v>
      </c>
      <c r="F29" s="4">
        <f>Таблица1[[#This Row],[Нормированные остатки]]-E30</f>
        <v>-7.6626270810220665E-2</v>
      </c>
      <c r="G29" s="8" t="s">
        <v>42</v>
      </c>
      <c r="H29" s="8" t="s">
        <v>58</v>
      </c>
    </row>
    <row r="30" spans="1:9" x14ac:dyDescent="0.25">
      <c r="A30">
        <v>29</v>
      </c>
      <c r="B30">
        <v>-9</v>
      </c>
      <c r="C30" s="4">
        <f t="shared" si="0"/>
        <v>-5.5170914983358887</v>
      </c>
      <c r="D30" s="4">
        <f>ABS(Таблица1[[#This Row],[Предсказанные значения]]-Таблица1[[#This Row],[Z]])</f>
        <v>3.4829085016641113</v>
      </c>
      <c r="E30" s="4">
        <f>ABS(Таблица1[[#This Row],[Остатки]]/Таблица1[[#This Row],[Z]])</f>
        <v>0.38698983351823457</v>
      </c>
      <c r="F30" s="4">
        <f>Таблица1[[#This Row],[Нормированные остатки]]-E31</f>
        <v>-1.3675525159372555</v>
      </c>
      <c r="G30" s="8" t="s">
        <v>68</v>
      </c>
      <c r="H30" s="10">
        <f>SUMSQ(Таблица1[Шаг остатка])/SUMSQ(Таблица1[Нормированные остатки])</f>
        <v>1.1890037098614683</v>
      </c>
      <c r="I30" t="s">
        <v>43</v>
      </c>
    </row>
    <row r="31" spans="1:9" x14ac:dyDescent="0.25">
      <c r="A31">
        <v>38</v>
      </c>
      <c r="B31">
        <v>-2</v>
      </c>
      <c r="C31" s="4">
        <f t="shared" si="0"/>
        <v>-5.5090846989109803</v>
      </c>
      <c r="D31" s="4">
        <f>ABS(Таблица1[[#This Row],[Предсказанные значения]]-Таблица1[[#This Row],[Z]])</f>
        <v>3.5090846989109803</v>
      </c>
      <c r="E31" s="4">
        <f>ABS(Таблица1[[#This Row],[Остатки]]/Таблица1[[#This Row],[Z]])</f>
        <v>1.7545423494554901</v>
      </c>
      <c r="F31" s="4">
        <f>Таблица1[[#This Row],[Нормированные остатки]]-E32</f>
        <v>1.4432891423669307</v>
      </c>
      <c r="G31" t="s">
        <v>44</v>
      </c>
    </row>
    <row r="32" spans="1:9" x14ac:dyDescent="0.25">
      <c r="A32">
        <v>37</v>
      </c>
      <c r="B32">
        <v>-8</v>
      </c>
      <c r="C32" s="4">
        <f t="shared" si="0"/>
        <v>-5.5099743432915256</v>
      </c>
      <c r="D32" s="4">
        <f>ABS(Таблица1[[#This Row],[Предсказанные значения]]-Таблица1[[#This Row],[Z]])</f>
        <v>2.4900256567084744</v>
      </c>
      <c r="E32" s="4">
        <f>ABS(Таблица1[[#This Row],[Остатки]]/Таблица1[[#This Row],[Z]])</f>
        <v>0.3112532070885593</v>
      </c>
      <c r="F32" s="4">
        <f>Таблица1[[#This Row],[Нормированные остатки]]-E33</f>
        <v>-7.8306710195695295E-2</v>
      </c>
      <c r="G32" t="s">
        <v>45</v>
      </c>
    </row>
    <row r="33" spans="1:9" x14ac:dyDescent="0.25">
      <c r="A33">
        <v>55</v>
      </c>
      <c r="B33">
        <v>-9</v>
      </c>
      <c r="C33" s="4">
        <f t="shared" si="0"/>
        <v>-5.4939607444417087</v>
      </c>
      <c r="D33" s="4">
        <f>ABS(Таблица1[[#This Row],[Предсказанные значения]]-Таблица1[[#This Row],[Z]])</f>
        <v>3.5060392555582913</v>
      </c>
      <c r="E33" s="4">
        <f>ABS(Таблица1[[#This Row],[Остатки]]/Таблица1[[#This Row],[Z]])</f>
        <v>0.3895599172842546</v>
      </c>
      <c r="F33" s="4">
        <f>Таблица1[[#This Row],[Нормированные остатки]]-E34</f>
        <v>0.17657201712868034</v>
      </c>
      <c r="G33" t="s">
        <v>46</v>
      </c>
    </row>
    <row r="34" spans="1:9" x14ac:dyDescent="0.25">
      <c r="A34">
        <v>38</v>
      </c>
      <c r="B34">
        <v>-7</v>
      </c>
      <c r="C34" s="4">
        <f t="shared" ref="C34:C65" si="1">$H$3+$H$2*A34</f>
        <v>-5.5090846989109803</v>
      </c>
      <c r="D34" s="4">
        <f>ABS(Таблица1[[#This Row],[Предсказанные значения]]-Таблица1[[#This Row],[Z]])</f>
        <v>1.4909153010890197</v>
      </c>
      <c r="E34" s="4">
        <f>ABS(Таблица1[[#This Row],[Остатки]]/Таблица1[[#This Row],[Z]])</f>
        <v>0.21298790015557426</v>
      </c>
      <c r="F34" s="4">
        <f>Таблица1[[#This Row],[Нормированные остатки]]-E35</f>
        <v>-1.5464474933929153</v>
      </c>
    </row>
    <row r="35" spans="1:9" x14ac:dyDescent="0.25">
      <c r="A35">
        <v>27</v>
      </c>
      <c r="B35">
        <v>-2</v>
      </c>
      <c r="C35" s="4">
        <f t="shared" si="1"/>
        <v>-5.5188707870969793</v>
      </c>
      <c r="D35" s="4">
        <f>ABS(Таблица1[[#This Row],[Предсказанные значения]]-Таблица1[[#This Row],[Z]])</f>
        <v>3.5188707870969793</v>
      </c>
      <c r="E35" s="4">
        <f>ABS(Таблица1[[#This Row],[Остатки]]/Таблица1[[#This Row],[Z]])</f>
        <v>1.7594353935484897</v>
      </c>
      <c r="F35" s="4">
        <f>Таблица1[[#This Row],[Нормированные остатки]]-E36</f>
        <v>1.6586860270229482</v>
      </c>
      <c r="G35" s="8" t="s">
        <v>47</v>
      </c>
      <c r="H35" s="10">
        <f>_xlfn.COVARIANCE.S(Xval, Zval)/SQRT(_xlfn.VAR.S(Xval)*_xlfn.VAR.S(Zval))</f>
        <v>2.5542176343975433E-3</v>
      </c>
      <c r="I35" s="4"/>
    </row>
    <row r="36" spans="1:9" x14ac:dyDescent="0.25">
      <c r="A36">
        <v>44</v>
      </c>
      <c r="B36">
        <v>-5</v>
      </c>
      <c r="C36" s="4">
        <f t="shared" si="1"/>
        <v>-5.5037468326277077</v>
      </c>
      <c r="D36" s="4">
        <f>ABS(Таблица1[[#This Row],[Предсказанные значения]]-Таблица1[[#This Row],[Z]])</f>
        <v>0.5037468326277077</v>
      </c>
      <c r="E36" s="4">
        <f>ABS(Таблица1[[#This Row],[Остатки]]/Таблица1[[#This Row],[Z]])</f>
        <v>0.10074936652554153</v>
      </c>
      <c r="F36" s="4">
        <f>Таблица1[[#This Row],[Нормированные остатки]]-E37</f>
        <v>-0.7326467185096337</v>
      </c>
      <c r="G36" s="8" t="s">
        <v>48</v>
      </c>
      <c r="H36" s="11">
        <f>1-SUMSQ(Таблица1[Остатки])/DEVSQ(Zval)</f>
        <v>6.5240277238309829E-6</v>
      </c>
    </row>
    <row r="37" spans="1:9" x14ac:dyDescent="0.25">
      <c r="A37">
        <v>48</v>
      </c>
      <c r="B37">
        <v>-3</v>
      </c>
      <c r="C37" s="4">
        <f t="shared" si="1"/>
        <v>-5.5001882551055257</v>
      </c>
      <c r="D37" s="4">
        <f>ABS(Таблица1[[#This Row],[Предсказанные значения]]-Таблица1[[#This Row],[Z]])</f>
        <v>2.5001882551055257</v>
      </c>
      <c r="E37" s="4">
        <f>ABS(Таблица1[[#This Row],[Остатки]]/Таблица1[[#This Row],[Z]])</f>
        <v>0.83339608503517526</v>
      </c>
      <c r="F37" s="4">
        <f>Таблица1[[#This Row],[Нормированные остатки]]-E38</f>
        <v>0.75202169037727795</v>
      </c>
      <c r="G37" t="s">
        <v>49</v>
      </c>
    </row>
    <row r="38" spans="1:9" x14ac:dyDescent="0.25">
      <c r="A38">
        <v>35</v>
      </c>
      <c r="B38">
        <v>-6</v>
      </c>
      <c r="C38" s="4">
        <f t="shared" si="1"/>
        <v>-5.5117536320526161</v>
      </c>
      <c r="D38" s="4">
        <f>ABS(Таблица1[[#This Row],[Предсказанные значения]]-Таблица1[[#This Row],[Z]])</f>
        <v>0.48824636794738385</v>
      </c>
      <c r="E38" s="4">
        <f>ABS(Таблица1[[#This Row],[Остатки]]/Таблица1[[#This Row],[Z]])</f>
        <v>8.1374394657897309E-2</v>
      </c>
      <c r="F38" s="4">
        <f>Таблица1[[#This Row],[Нормированные остатки]]-E39</f>
        <v>-0.36745024213684108</v>
      </c>
    </row>
    <row r="39" spans="1:9" x14ac:dyDescent="0.25">
      <c r="A39">
        <v>35</v>
      </c>
      <c r="B39">
        <v>-10</v>
      </c>
      <c r="C39" s="4">
        <f t="shared" si="1"/>
        <v>-5.5117536320526161</v>
      </c>
      <c r="D39" s="4">
        <f>ABS(Таблица1[[#This Row],[Предсказанные значения]]-Таблица1[[#This Row],[Z]])</f>
        <v>4.4882463679473839</v>
      </c>
      <c r="E39" s="4">
        <f>ABS(Таблица1[[#This Row],[Остатки]]/Таблица1[[#This Row],[Z]])</f>
        <v>0.44882463679473839</v>
      </c>
      <c r="F39" s="4">
        <f>Таблица1[[#This Row],[Нормированные остатки]]-E40</f>
        <v>6.9329351115629878E-2</v>
      </c>
      <c r="G39" s="8" t="s">
        <v>50</v>
      </c>
      <c r="H39" s="8" t="s">
        <v>39</v>
      </c>
    </row>
    <row r="40" spans="1:9" x14ac:dyDescent="0.25">
      <c r="A40">
        <v>28</v>
      </c>
      <c r="B40">
        <v>-4</v>
      </c>
      <c r="C40" s="4">
        <f t="shared" si="1"/>
        <v>-5.517981142716434</v>
      </c>
      <c r="D40" s="4">
        <f>ABS(Таблица1[[#This Row],[Предсказанные значения]]-Таблица1[[#This Row],[Z]])</f>
        <v>1.517981142716434</v>
      </c>
      <c r="E40" s="4">
        <f>ABS(Таблица1[[#This Row],[Остатки]]/Таблица1[[#This Row],[Z]])</f>
        <v>0.37949528567910851</v>
      </c>
      <c r="F40" s="4">
        <f>Таблица1[[#This Row],[Нормированные остатки]]-E41</f>
        <v>0.16638029346917052</v>
      </c>
      <c r="G40" s="8" t="s">
        <v>52</v>
      </c>
      <c r="H40" s="10">
        <f>help_linear_xz!E12</f>
        <v>5.7411818523989372E-4</v>
      </c>
    </row>
    <row r="41" spans="1:9" x14ac:dyDescent="0.25">
      <c r="A41">
        <v>39</v>
      </c>
      <c r="B41">
        <v>-7</v>
      </c>
      <c r="C41" s="4">
        <f t="shared" si="1"/>
        <v>-5.5081950545304341</v>
      </c>
      <c r="D41" s="4">
        <f>ABS(Таблица1[[#This Row],[Предсказанные значения]]-Таблица1[[#This Row],[Z]])</f>
        <v>1.4918049454695659</v>
      </c>
      <c r="E41" s="4">
        <f>ABS(Таблица1[[#This Row],[Остатки]]/Таблица1[[#This Row],[Z]])</f>
        <v>0.21311499220993799</v>
      </c>
      <c r="F41" s="4">
        <f>Таблица1[[#This Row],[Нормированные остатки]]-E42</f>
        <v>-1.5414273572455521</v>
      </c>
      <c r="G41" s="8" t="s">
        <v>51</v>
      </c>
      <c r="H41" s="10">
        <f>FINV(0.05,help_linear_xz!B12,help_linear_xz!B13)</f>
        <v>3.9493210068606932</v>
      </c>
    </row>
    <row r="42" spans="1:9" x14ac:dyDescent="0.25">
      <c r="A42">
        <v>38</v>
      </c>
      <c r="B42">
        <v>-2</v>
      </c>
      <c r="C42" s="4">
        <f t="shared" si="1"/>
        <v>-5.5090846989109803</v>
      </c>
      <c r="D42" s="4">
        <f>ABS(Таблица1[[#This Row],[Предсказанные значения]]-Таблица1[[#This Row],[Z]])</f>
        <v>3.5090846989109803</v>
      </c>
      <c r="E42" s="4">
        <f>ABS(Таблица1[[#This Row],[Остатки]]/Таблица1[[#This Row],[Z]])</f>
        <v>1.7545423494554901</v>
      </c>
      <c r="F42" s="4">
        <f>Таблица1[[#This Row],[Нормированные остатки]]-E43</f>
        <v>1.3766039414423361</v>
      </c>
      <c r="G42" t="s">
        <v>84</v>
      </c>
    </row>
    <row r="43" spans="1:9" x14ac:dyDescent="0.25">
      <c r="A43">
        <v>35</v>
      </c>
      <c r="B43">
        <v>-4</v>
      </c>
      <c r="C43" s="4">
        <f t="shared" si="1"/>
        <v>-5.5117536320526161</v>
      </c>
      <c r="D43" s="4">
        <f>ABS(Таблица1[[#This Row],[Предсказанные значения]]-Таблица1[[#This Row],[Z]])</f>
        <v>1.5117536320526161</v>
      </c>
      <c r="E43" s="4">
        <f>ABS(Таблица1[[#This Row],[Остатки]]/Таблица1[[#This Row],[Z]])</f>
        <v>0.37793840801315404</v>
      </c>
      <c r="F43" s="4">
        <f>Таблица1[[#This Row],[Нормированные остатки]]-E44</f>
        <v>-7.1331050971857102E-2</v>
      </c>
    </row>
    <row r="44" spans="1:9" x14ac:dyDescent="0.25">
      <c r="A44">
        <v>40</v>
      </c>
      <c r="B44">
        <v>-10</v>
      </c>
      <c r="C44" s="4">
        <f t="shared" si="1"/>
        <v>-5.5073054101498888</v>
      </c>
      <c r="D44" s="4">
        <f>ABS(Таблица1[[#This Row],[Предсказанные значения]]-Таблица1[[#This Row],[Z]])</f>
        <v>4.4926945898501112</v>
      </c>
      <c r="E44" s="4">
        <f>ABS(Таблица1[[#This Row],[Остатки]]/Таблица1[[#This Row],[Z]])</f>
        <v>0.44926945898501114</v>
      </c>
      <c r="F44" s="4">
        <f>Таблица1[[#This Row],[Нормированные остатки]]-E45</f>
        <v>-3.5585775221808058E-4</v>
      </c>
      <c r="G44" s="8" t="s">
        <v>54</v>
      </c>
      <c r="H44" s="8" t="s">
        <v>39</v>
      </c>
    </row>
    <row r="45" spans="1:9" x14ac:dyDescent="0.25">
      <c r="A45">
        <v>44</v>
      </c>
      <c r="B45">
        <v>-10</v>
      </c>
      <c r="C45" s="4">
        <f t="shared" si="1"/>
        <v>-5.5037468326277077</v>
      </c>
      <c r="D45" s="4">
        <f>ABS(Таблица1[[#This Row],[Предсказанные значения]]-Таблица1[[#This Row],[Z]])</f>
        <v>4.4962531673722923</v>
      </c>
      <c r="E45" s="4">
        <f>ABS(Таблица1[[#This Row],[Остатки]]/Таблица1[[#This Row],[Z]])</f>
        <v>0.44962531673722922</v>
      </c>
      <c r="F45" s="4">
        <f>Таблица1[[#This Row],[Нормированные остатки]]-E46</f>
        <v>6.2536633843378486E-2</v>
      </c>
      <c r="G45" s="8" t="s">
        <v>21</v>
      </c>
      <c r="H45" s="10">
        <f>help_linear_xz!D18</f>
        <v>2.3960763453264578E-2</v>
      </c>
    </row>
    <row r="46" spans="1:9" x14ac:dyDescent="0.25">
      <c r="A46">
        <v>30</v>
      </c>
      <c r="B46">
        <v>-9</v>
      </c>
      <c r="C46" s="4">
        <f t="shared" si="1"/>
        <v>-5.5162018539553435</v>
      </c>
      <c r="D46" s="4">
        <f>ABS(Таблица1[[#This Row],[Предсказанные значения]]-Таблица1[[#This Row],[Z]])</f>
        <v>3.4837981460446565</v>
      </c>
      <c r="E46" s="4">
        <f>ABS(Таблица1[[#This Row],[Остатки]]/Таблица1[[#This Row],[Z]])</f>
        <v>0.38708868289385073</v>
      </c>
      <c r="F46" s="4">
        <f>Таблица1[[#This Row],[Нормированные остатки]]-E47</f>
        <v>-6.244766940532398E-2</v>
      </c>
      <c r="G46" s="8" t="s">
        <v>53</v>
      </c>
      <c r="H46" s="10" cm="1">
        <f t="array" ref="H46">_xlfn.T.INV(0.95,COUNT(Таблица1[X]-2))</f>
        <v>1.661961084030164</v>
      </c>
    </row>
    <row r="47" spans="1:9" x14ac:dyDescent="0.25">
      <c r="A47">
        <v>43</v>
      </c>
      <c r="B47">
        <v>-10</v>
      </c>
      <c r="C47" s="4">
        <f t="shared" si="1"/>
        <v>-5.504636477008253</v>
      </c>
      <c r="D47" s="4">
        <f>ABS(Таблица1[[#This Row],[Предсказанные значения]]-Таблица1[[#This Row],[Z]])</f>
        <v>4.495363522991747</v>
      </c>
      <c r="E47" s="4">
        <f>ABS(Таблица1[[#This Row],[Остатки]]/Таблица1[[#This Row],[Z]])</f>
        <v>0.44953635229917471</v>
      </c>
      <c r="F47" s="4">
        <f>Таблица1[[#This Row],[Нормированные остатки]]-E48</f>
        <v>0</v>
      </c>
      <c r="G47" t="s">
        <v>83</v>
      </c>
    </row>
    <row r="48" spans="1:9" x14ac:dyDescent="0.25">
      <c r="A48">
        <v>43</v>
      </c>
      <c r="B48">
        <v>-10</v>
      </c>
      <c r="C48" s="4">
        <f t="shared" si="1"/>
        <v>-5.504636477008253</v>
      </c>
      <c r="D48" s="4">
        <f>ABS(Таблица1[[#This Row],[Предсказанные значения]]-Таблица1[[#This Row],[Z]])</f>
        <v>4.495363522991747</v>
      </c>
      <c r="E48" s="4">
        <f>ABS(Таблица1[[#This Row],[Остатки]]/Таблица1[[#This Row],[Z]])</f>
        <v>0.44953635229917471</v>
      </c>
      <c r="F48" s="4">
        <f>Таблица1[[#This Row],[Нормированные остатки]]-E49</f>
        <v>0.23794646474160033</v>
      </c>
    </row>
    <row r="49" spans="1:6" x14ac:dyDescent="0.25">
      <c r="A49">
        <v>27</v>
      </c>
      <c r="B49">
        <v>-7</v>
      </c>
      <c r="C49" s="4">
        <f t="shared" si="1"/>
        <v>-5.5188707870969793</v>
      </c>
      <c r="D49" s="4">
        <f>ABS(Таблица1[[#This Row],[Предсказанные значения]]-Таблица1[[#This Row],[Z]])</f>
        <v>1.4811292129030207</v>
      </c>
      <c r="E49" s="4">
        <f>ABS(Таблица1[[#This Row],[Остатки]]/Таблица1[[#This Row],[Z]])</f>
        <v>0.21158988755757438</v>
      </c>
      <c r="F49" s="4">
        <f>Таблица1[[#This Row],[Нормированные остатки]]-E50</f>
        <v>-6.2877087231674063</v>
      </c>
    </row>
    <row r="50" spans="1:6" x14ac:dyDescent="0.25">
      <c r="A50">
        <v>49</v>
      </c>
      <c r="B50">
        <v>1</v>
      </c>
      <c r="C50" s="4">
        <f t="shared" si="1"/>
        <v>-5.4992986107249804</v>
      </c>
      <c r="D50" s="4">
        <f>ABS(Таблица1[[#This Row],[Предсказанные значения]]-Таблица1[[#This Row],[Z]])</f>
        <v>6.4992986107249804</v>
      </c>
      <c r="E50" s="4">
        <f>ABS(Таблица1[[#This Row],[Остатки]]/Таблица1[[#This Row],[Z]])</f>
        <v>6.4992986107249804</v>
      </c>
      <c r="F50" s="4">
        <f>Таблица1[[#This Row],[Нормированные остатки]]-E51</f>
        <v>2.7434217946986723</v>
      </c>
    </row>
    <row r="51" spans="1:6" x14ac:dyDescent="0.25">
      <c r="A51">
        <v>35</v>
      </c>
      <c r="B51">
        <v>2</v>
      </c>
      <c r="C51" s="4">
        <f t="shared" si="1"/>
        <v>-5.5117536320526161</v>
      </c>
      <c r="D51" s="4">
        <f>ABS(Таблица1[[#This Row],[Предсказанные значения]]-Таблица1[[#This Row],[Z]])</f>
        <v>7.5117536320526161</v>
      </c>
      <c r="E51" s="4">
        <f>ABS(Таблица1[[#This Row],[Остатки]]/Таблица1[[#This Row],[Z]])</f>
        <v>3.7558768160263081</v>
      </c>
      <c r="F51" s="4">
        <f>Таблица1[[#This Row],[Нормированные остатки]]-E52</f>
        <v>3.3069632147935151</v>
      </c>
    </row>
    <row r="52" spans="1:6" x14ac:dyDescent="0.25">
      <c r="A52">
        <v>36</v>
      </c>
      <c r="B52">
        <v>-10</v>
      </c>
      <c r="C52" s="4">
        <f t="shared" si="1"/>
        <v>-5.5108639876720709</v>
      </c>
      <c r="D52" s="4">
        <f>ABS(Таблица1[[#This Row],[Предсказанные значения]]-Таблица1[[#This Row],[Z]])</f>
        <v>4.4891360123279291</v>
      </c>
      <c r="E52" s="4">
        <f>ABS(Таблица1[[#This Row],[Остатки]]/Таблица1[[#This Row],[Z]])</f>
        <v>0.44891360123279289</v>
      </c>
      <c r="F52" s="4">
        <f>Таблица1[[#This Row],[Нормированные остатки]]-E53</f>
        <v>-1.3158596585989688</v>
      </c>
    </row>
    <row r="53" spans="1:6" x14ac:dyDescent="0.25">
      <c r="A53">
        <v>15</v>
      </c>
      <c r="B53">
        <v>-2</v>
      </c>
      <c r="C53" s="4">
        <f t="shared" si="1"/>
        <v>-5.5295465196635236</v>
      </c>
      <c r="D53" s="4">
        <f>ABS(Таблица1[[#This Row],[Предсказанные значения]]-Таблица1[[#This Row],[Z]])</f>
        <v>3.5295465196635236</v>
      </c>
      <c r="E53" s="4">
        <f>ABS(Таблица1[[#This Row],[Остатки]]/Таблица1[[#This Row],[Z]])</f>
        <v>1.7647732598317618</v>
      </c>
      <c r="F53" s="4">
        <f>Таблица1[[#This Row],[Нормированные остатки]]-E54</f>
        <v>1.6836954133007129</v>
      </c>
    </row>
    <row r="54" spans="1:6" x14ac:dyDescent="0.25">
      <c r="A54">
        <v>33</v>
      </c>
      <c r="B54">
        <v>-6</v>
      </c>
      <c r="C54" s="4">
        <f t="shared" si="1"/>
        <v>-5.5135329208137067</v>
      </c>
      <c r="D54" s="4">
        <f>ABS(Таблица1[[#This Row],[Предсказанные значения]]-Таблица1[[#This Row],[Z]])</f>
        <v>0.48646707918629328</v>
      </c>
      <c r="E54" s="4">
        <f>ABS(Таблица1[[#This Row],[Остатки]]/Таблица1[[#This Row],[Z]])</f>
        <v>8.1077846531048881E-2</v>
      </c>
      <c r="F54" s="4">
        <f>Таблица1[[#This Row],[Нормированные остатки]]-E55</f>
        <v>-0.1305120410265255</v>
      </c>
    </row>
    <row r="55" spans="1:6" x14ac:dyDescent="0.25">
      <c r="A55">
        <v>27</v>
      </c>
      <c r="B55">
        <v>-7</v>
      </c>
      <c r="C55" s="4">
        <f t="shared" si="1"/>
        <v>-5.5188707870969793</v>
      </c>
      <c r="D55" s="4">
        <f>ABS(Таблица1[[#This Row],[Предсказанные значения]]-Таблица1[[#This Row],[Z]])</f>
        <v>1.4811292129030207</v>
      </c>
      <c r="E55" s="4">
        <f>ABS(Таблица1[[#This Row],[Остатки]]/Таблица1[[#This Row],[Z]])</f>
        <v>0.21158988755757438</v>
      </c>
      <c r="F55" s="4">
        <f>Таблица1[[#This Row],[Нормированные остатки]]-E56</f>
        <v>-0.62328893811184327</v>
      </c>
    </row>
    <row r="56" spans="1:6" x14ac:dyDescent="0.25">
      <c r="A56">
        <v>43</v>
      </c>
      <c r="B56">
        <v>-3</v>
      </c>
      <c r="C56" s="4">
        <f t="shared" si="1"/>
        <v>-5.504636477008253</v>
      </c>
      <c r="D56" s="4">
        <f>ABS(Таблица1[[#This Row],[Предсказанные значения]]-Таблица1[[#This Row],[Z]])</f>
        <v>2.504636477008253</v>
      </c>
      <c r="E56" s="4">
        <f>ABS(Таблица1[[#This Row],[Остатки]]/Таблица1[[#This Row],[Z]])</f>
        <v>0.83487882566941762</v>
      </c>
      <c r="F56" s="4">
        <f>Таблица1[[#This Row],[Нормированные остатки]]-E57</f>
        <v>0.62074709702457076</v>
      </c>
    </row>
    <row r="57" spans="1:6" x14ac:dyDescent="0.25">
      <c r="A57">
        <v>47</v>
      </c>
      <c r="B57">
        <v>-7</v>
      </c>
      <c r="C57" s="4">
        <f t="shared" si="1"/>
        <v>-5.5010778994860718</v>
      </c>
      <c r="D57" s="4">
        <f>ABS(Таблица1[[#This Row],[Предсказанные значения]]-Таблица1[[#This Row],[Z]])</f>
        <v>1.4989221005139282</v>
      </c>
      <c r="E57" s="4">
        <f>ABS(Таблица1[[#This Row],[Остатки]]/Таблица1[[#This Row],[Z]])</f>
        <v>0.21413172864484689</v>
      </c>
      <c r="F57" s="4">
        <f>Таблица1[[#This Row],[Нормированные остатки]]-E58</f>
        <v>0.13305388211379801</v>
      </c>
    </row>
    <row r="58" spans="1:6" x14ac:dyDescent="0.25">
      <c r="A58">
        <v>33</v>
      </c>
      <c r="B58">
        <v>-6</v>
      </c>
      <c r="C58" s="4">
        <f t="shared" si="1"/>
        <v>-5.5135329208137067</v>
      </c>
      <c r="D58" s="4">
        <f>ABS(Таблица1[[#This Row],[Предсказанные значения]]-Таблица1[[#This Row],[Z]])</f>
        <v>0.48646707918629328</v>
      </c>
      <c r="E58" s="4">
        <f>ABS(Таблица1[[#This Row],[Остатки]]/Таблица1[[#This Row],[Z]])</f>
        <v>8.1077846531048881E-2</v>
      </c>
      <c r="F58" s="4">
        <f>Таблица1[[#This Row],[Нормированные остатки]]-E59</f>
        <v>-0.30581313761156959</v>
      </c>
    </row>
    <row r="59" spans="1:6" x14ac:dyDescent="0.25">
      <c r="A59">
        <v>28</v>
      </c>
      <c r="B59">
        <v>-9</v>
      </c>
      <c r="C59" s="4">
        <f t="shared" si="1"/>
        <v>-5.517981142716434</v>
      </c>
      <c r="D59" s="4">
        <f>ABS(Таблица1[[#This Row],[Предсказанные значения]]-Таблица1[[#This Row],[Z]])</f>
        <v>3.482018857283566</v>
      </c>
      <c r="E59" s="4">
        <f>ABS(Таблица1[[#This Row],[Остатки]]/Таблица1[[#This Row],[Z]])</f>
        <v>0.38689098414261847</v>
      </c>
      <c r="F59" s="4">
        <f>Таблица1[[#This Row],[Нормированные остатки]]-E60</f>
        <v>0.28560783098874976</v>
      </c>
    </row>
    <row r="60" spans="1:6" x14ac:dyDescent="0.25">
      <c r="A60">
        <v>41</v>
      </c>
      <c r="B60">
        <v>-5</v>
      </c>
      <c r="C60" s="4">
        <f t="shared" si="1"/>
        <v>-5.5064157657693436</v>
      </c>
      <c r="D60" s="4">
        <f>ABS(Таблица1[[#This Row],[Предсказанные значения]]-Таблица1[[#This Row],[Z]])</f>
        <v>0.50641576576934355</v>
      </c>
      <c r="E60" s="4">
        <f>ABS(Таблица1[[#This Row],[Остатки]]/Таблица1[[#This Row],[Z]])</f>
        <v>0.10128315315386871</v>
      </c>
      <c r="F60" s="4">
        <f>Таблица1[[#This Row],[Нормированные остатки]]-E61</f>
        <v>-4.3891190137656579</v>
      </c>
    </row>
    <row r="61" spans="1:6" x14ac:dyDescent="0.25">
      <c r="A61">
        <v>59</v>
      </c>
      <c r="B61">
        <v>-1</v>
      </c>
      <c r="C61" s="4">
        <f t="shared" si="1"/>
        <v>-5.4904021669195266</v>
      </c>
      <c r="D61" s="4">
        <f>ABS(Таблица1[[#This Row],[Предсказанные значения]]-Таблица1[[#This Row],[Z]])</f>
        <v>4.4904021669195266</v>
      </c>
      <c r="E61" s="4">
        <f>ABS(Таблица1[[#This Row],[Остатки]]/Таблица1[[#This Row],[Z]])</f>
        <v>4.4904021669195266</v>
      </c>
      <c r="F61" s="4">
        <f>Таблица1[[#This Row],[Нормированные остатки]]-E62</f>
        <v>4.3859162939956944</v>
      </c>
    </row>
    <row r="62" spans="1:6" x14ac:dyDescent="0.25">
      <c r="A62">
        <v>23</v>
      </c>
      <c r="B62">
        <v>-5</v>
      </c>
      <c r="C62" s="4">
        <f t="shared" si="1"/>
        <v>-5.5224293646191605</v>
      </c>
      <c r="D62" s="4">
        <f>ABS(Таблица1[[#This Row],[Предсказанные значения]]-Таблица1[[#This Row],[Z]])</f>
        <v>0.52242936461916045</v>
      </c>
      <c r="E62" s="4">
        <f>ABS(Таблица1[[#This Row],[Остатки]]/Таблица1[[#This Row],[Z]])</f>
        <v>0.10448587292383209</v>
      </c>
      <c r="F62" s="4">
        <f>Таблица1[[#This Row],[Нормированные остатки]]-E63</f>
        <v>-0.27256289070877643</v>
      </c>
    </row>
    <row r="63" spans="1:6" x14ac:dyDescent="0.25">
      <c r="A63">
        <v>39</v>
      </c>
      <c r="B63">
        <v>-4</v>
      </c>
      <c r="C63" s="4">
        <f t="shared" si="1"/>
        <v>-5.5081950545304341</v>
      </c>
      <c r="D63" s="4">
        <f>ABS(Таблица1[[#This Row],[Предсказанные значения]]-Таблица1[[#This Row],[Z]])</f>
        <v>1.5081950545304341</v>
      </c>
      <c r="E63" s="4">
        <f>ABS(Таблица1[[#This Row],[Остатки]]/Таблица1[[#This Row],[Z]])</f>
        <v>0.37704876363260853</v>
      </c>
      <c r="F63" s="4">
        <f>Таблица1[[#This Row],[Нормированные остатки]]-E64</f>
        <v>-0.4596093507979</v>
      </c>
    </row>
    <row r="64" spans="1:6" x14ac:dyDescent="0.25">
      <c r="A64">
        <v>37</v>
      </c>
      <c r="B64">
        <v>-3</v>
      </c>
      <c r="C64" s="4">
        <f t="shared" si="1"/>
        <v>-5.5099743432915256</v>
      </c>
      <c r="D64" s="4">
        <f>ABS(Таблица1[[#This Row],[Предсказанные значения]]-Таблица1[[#This Row],[Z]])</f>
        <v>2.5099743432915256</v>
      </c>
      <c r="E64" s="4">
        <f>ABS(Таблица1[[#This Row],[Остатки]]/Таблица1[[#This Row],[Z]])</f>
        <v>0.83665811443050853</v>
      </c>
      <c r="F64" s="4">
        <f>Таблица1[[#This Row],[Нормированные остатки]]-E65</f>
        <v>-0.91299119093198167</v>
      </c>
    </row>
    <row r="65" spans="1:6" x14ac:dyDescent="0.25">
      <c r="A65">
        <v>49</v>
      </c>
      <c r="B65">
        <v>-2</v>
      </c>
      <c r="C65" s="4">
        <f t="shared" si="1"/>
        <v>-5.4992986107249804</v>
      </c>
      <c r="D65" s="4">
        <f>ABS(Таблица1[[#This Row],[Предсказанные значения]]-Таблица1[[#This Row],[Z]])</f>
        <v>3.4992986107249804</v>
      </c>
      <c r="E65" s="4">
        <f>ABS(Таблица1[[#This Row],[Остатки]]/Таблица1[[#This Row],[Z]])</f>
        <v>1.7496493053624902</v>
      </c>
      <c r="F65" s="4">
        <f>Таблица1[[#This Row],[Нормированные остатки]]-E66</f>
        <v>1.5381865098592795</v>
      </c>
    </row>
    <row r="66" spans="1:6" x14ac:dyDescent="0.25">
      <c r="A66">
        <v>26</v>
      </c>
      <c r="B66">
        <v>-7</v>
      </c>
      <c r="C66" s="4">
        <f t="shared" ref="C66:C91" si="2">$H$3+$H$2*A66</f>
        <v>-5.5197604314775246</v>
      </c>
      <c r="D66" s="4">
        <f>ABS(Таблица1[[#This Row],[Предсказанные значения]]-Таблица1[[#This Row],[Z]])</f>
        <v>1.4802395685224754</v>
      </c>
      <c r="E66" s="4">
        <f>ABS(Таблица1[[#This Row],[Остатки]]/Таблица1[[#This Row],[Z]])</f>
        <v>0.21146279550321076</v>
      </c>
      <c r="F66" s="4">
        <f>Таблица1[[#This Row],[Нормированные остатки]]-E67</f>
        <v>-0.63023663708372157</v>
      </c>
    </row>
    <row r="67" spans="1:6" x14ac:dyDescent="0.25">
      <c r="A67">
        <v>20</v>
      </c>
      <c r="B67">
        <v>-3</v>
      </c>
      <c r="C67" s="4">
        <f t="shared" si="2"/>
        <v>-5.5250982977607972</v>
      </c>
      <c r="D67" s="4">
        <f>ABS(Таблица1[[#This Row],[Предсказанные значения]]-Таблица1[[#This Row],[Z]])</f>
        <v>2.5250982977607972</v>
      </c>
      <c r="E67" s="4">
        <f>ABS(Таблица1[[#This Row],[Остатки]]/Таблица1[[#This Row],[Z]])</f>
        <v>0.84169943258693236</v>
      </c>
      <c r="F67" s="4">
        <f>Таблица1[[#This Row],[Нормированные остатки]]-E68</f>
        <v>0.45283146093199078</v>
      </c>
    </row>
    <row r="68" spans="1:6" x14ac:dyDescent="0.25">
      <c r="A68">
        <v>48</v>
      </c>
      <c r="B68">
        <v>-9</v>
      </c>
      <c r="C68" s="4">
        <f t="shared" si="2"/>
        <v>-5.5001882551055257</v>
      </c>
      <c r="D68" s="4">
        <f>ABS(Таблица1[[#This Row],[Предсказанные значения]]-Таблица1[[#This Row],[Z]])</f>
        <v>3.4998117448944743</v>
      </c>
      <c r="E68" s="4">
        <f>ABS(Таблица1[[#This Row],[Остатки]]/Таблица1[[#This Row],[Z]])</f>
        <v>0.38886797165494158</v>
      </c>
      <c r="F68" s="4">
        <f>Таблица1[[#This Row],[Нормированные остатки]]-E69</f>
        <v>-5.9689771825633231E-2</v>
      </c>
    </row>
    <row r="69" spans="1:6" x14ac:dyDescent="0.25">
      <c r="A69">
        <v>32</v>
      </c>
      <c r="B69">
        <v>-10</v>
      </c>
      <c r="C69" s="4">
        <f t="shared" si="2"/>
        <v>-5.514422565194252</v>
      </c>
      <c r="D69" s="4">
        <f>ABS(Таблица1[[#This Row],[Предсказанные значения]]-Таблица1[[#This Row],[Z]])</f>
        <v>4.485577434805748</v>
      </c>
      <c r="E69" s="4">
        <f>ABS(Таблица1[[#This Row],[Остатки]]/Таблица1[[#This Row],[Z]])</f>
        <v>0.44855774348057481</v>
      </c>
      <c r="F69" s="4">
        <f>Таблица1[[#This Row],[Нормированные остатки]]-E70</f>
        <v>0.13563645317849288</v>
      </c>
    </row>
    <row r="70" spans="1:6" x14ac:dyDescent="0.25">
      <c r="A70">
        <v>52</v>
      </c>
      <c r="B70">
        <v>-8</v>
      </c>
      <c r="C70" s="4">
        <f t="shared" si="2"/>
        <v>-5.4966296775833445</v>
      </c>
      <c r="D70" s="4">
        <f>ABS(Таблица1[[#This Row],[Предсказанные значения]]-Таблица1[[#This Row],[Z]])</f>
        <v>2.5033703224166555</v>
      </c>
      <c r="E70" s="4">
        <f>ABS(Таблица1[[#This Row],[Остатки]]/Таблица1[[#This Row],[Z]])</f>
        <v>0.31292129030208193</v>
      </c>
      <c r="F70" s="4">
        <f>Таблица1[[#This Row],[Нормированные остатки]]-E71</f>
        <v>-4.1917151867061708</v>
      </c>
    </row>
    <row r="71" spans="1:6" x14ac:dyDescent="0.25">
      <c r="A71">
        <v>43</v>
      </c>
      <c r="B71">
        <v>-1</v>
      </c>
      <c r="C71" s="4">
        <f t="shared" si="2"/>
        <v>-5.504636477008253</v>
      </c>
      <c r="D71" s="4">
        <f>ABS(Таблица1[[#This Row],[Предсказанные значения]]-Таблица1[[#This Row],[Z]])</f>
        <v>4.504636477008253</v>
      </c>
      <c r="E71" s="4">
        <f>ABS(Таблица1[[#This Row],[Остатки]]/Таблица1[[#This Row],[Z]])</f>
        <v>4.504636477008253</v>
      </c>
      <c r="F71" s="4">
        <f>Таблица1[[#This Row],[Нормированные остатки]]-E72</f>
        <v>2.7549871716457628</v>
      </c>
    </row>
    <row r="72" spans="1:6" x14ac:dyDescent="0.25">
      <c r="A72">
        <v>49</v>
      </c>
      <c r="B72">
        <v>-2</v>
      </c>
      <c r="C72" s="4">
        <f t="shared" si="2"/>
        <v>-5.4992986107249804</v>
      </c>
      <c r="D72" s="4">
        <f>ABS(Таблица1[[#This Row],[Предсказанные значения]]-Таблица1[[#This Row],[Z]])</f>
        <v>3.4992986107249804</v>
      </c>
      <c r="E72" s="4">
        <f>ABS(Таблица1[[#This Row],[Остатки]]/Таблица1[[#This Row],[Z]])</f>
        <v>1.7496493053624902</v>
      </c>
      <c r="F72" s="4">
        <f>Таблица1[[#This Row],[Нормированные остатки]]-E73</f>
        <v>1.5365343131525522</v>
      </c>
    </row>
    <row r="73" spans="1:6" x14ac:dyDescent="0.25">
      <c r="A73">
        <v>39</v>
      </c>
      <c r="B73">
        <v>-7</v>
      </c>
      <c r="C73" s="4">
        <f t="shared" si="2"/>
        <v>-5.5081950545304341</v>
      </c>
      <c r="D73" s="4">
        <f>ABS(Таблица1[[#This Row],[Предсказанные значения]]-Таблица1[[#This Row],[Z]])</f>
        <v>1.4918049454695659</v>
      </c>
      <c r="E73" s="4">
        <f>ABS(Таблица1[[#This Row],[Остатки]]/Таблица1[[#This Row],[Z]])</f>
        <v>0.21311499220993799</v>
      </c>
      <c r="F73" s="4">
        <f>Таблица1[[#This Row],[Нормированные остатки]]-E74</f>
        <v>-0.62206038158632804</v>
      </c>
    </row>
    <row r="74" spans="1:6" x14ac:dyDescent="0.25">
      <c r="A74">
        <v>42</v>
      </c>
      <c r="B74">
        <v>-3</v>
      </c>
      <c r="C74" s="4">
        <f t="shared" si="2"/>
        <v>-5.5055261213887983</v>
      </c>
      <c r="D74" s="4">
        <f>ABS(Таблица1[[#This Row],[Предсказанные значения]]-Таблица1[[#This Row],[Z]])</f>
        <v>2.5055261213887983</v>
      </c>
      <c r="E74" s="4">
        <f>ABS(Таблица1[[#This Row],[Остатки]]/Таблица1[[#This Row],[Z]])</f>
        <v>0.83517537379626605</v>
      </c>
      <c r="F74" s="4">
        <f>Таблица1[[#This Row],[Нормированные остатки]]-E75</f>
        <v>0.73318050513796096</v>
      </c>
    </row>
    <row r="75" spans="1:6" x14ac:dyDescent="0.25">
      <c r="A75">
        <v>37</v>
      </c>
      <c r="B75">
        <v>-5</v>
      </c>
      <c r="C75" s="4">
        <f t="shared" si="2"/>
        <v>-5.5099743432915256</v>
      </c>
      <c r="D75" s="4">
        <f>ABS(Таблица1[[#This Row],[Предсказанные значения]]-Таблица1[[#This Row],[Z]])</f>
        <v>0.50997434329152558</v>
      </c>
      <c r="E75" s="4">
        <f>ABS(Таблица1[[#This Row],[Остатки]]/Таблица1[[#This Row],[Z]])</f>
        <v>0.10199486865830512</v>
      </c>
      <c r="F75" s="4">
        <f>Таблица1[[#This Row],[Нормированные остатки]]-E76</f>
        <v>-0.27705559483053077</v>
      </c>
    </row>
    <row r="76" spans="1:6" x14ac:dyDescent="0.25">
      <c r="A76">
        <v>30</v>
      </c>
      <c r="B76">
        <v>-4</v>
      </c>
      <c r="C76" s="4">
        <f t="shared" si="2"/>
        <v>-5.5162018539553435</v>
      </c>
      <c r="D76" s="4">
        <f>ABS(Таблица1[[#This Row],[Предсказанные значения]]-Таблица1[[#This Row],[Z]])</f>
        <v>1.5162018539553435</v>
      </c>
      <c r="E76" s="4">
        <f>ABS(Таблица1[[#This Row],[Остатки]]/Таблица1[[#This Row],[Z]])</f>
        <v>0.37905046348883586</v>
      </c>
      <c r="F76" s="4">
        <f>Таблица1[[#This Row],[Нормированные остатки]]-E77</f>
        <v>-6.6723328540896354E-4</v>
      </c>
    </row>
    <row r="77" spans="1:6" x14ac:dyDescent="0.25">
      <c r="A77">
        <v>27</v>
      </c>
      <c r="B77">
        <v>-4</v>
      </c>
      <c r="C77" s="4">
        <f t="shared" si="2"/>
        <v>-5.5188707870969793</v>
      </c>
      <c r="D77" s="4">
        <f>ABS(Таблица1[[#This Row],[Предсказанные значения]]-Таблица1[[#This Row],[Z]])</f>
        <v>1.5188707870969793</v>
      </c>
      <c r="E77" s="4">
        <f>ABS(Таблица1[[#This Row],[Остатки]]/Таблица1[[#This Row],[Z]])</f>
        <v>0.37971769677424483</v>
      </c>
      <c r="F77" s="4">
        <f>Таблица1[[#This Row],[Нормированные остатки]]-E78</f>
        <v>0.27434217946986728</v>
      </c>
    </row>
    <row r="78" spans="1:6" x14ac:dyDescent="0.25">
      <c r="A78">
        <v>18</v>
      </c>
      <c r="B78">
        <v>-5</v>
      </c>
      <c r="C78" s="4">
        <f t="shared" si="2"/>
        <v>-5.5268775865218878</v>
      </c>
      <c r="D78" s="4">
        <f>ABS(Таблица1[[#This Row],[Предсказанные значения]]-Таблица1[[#This Row],[Z]])</f>
        <v>0.52687758652188776</v>
      </c>
      <c r="E78" s="4">
        <f>ABS(Таблица1[[#This Row],[Остатки]]/Таблица1[[#This Row],[Z]])</f>
        <v>0.10537551730437755</v>
      </c>
      <c r="F78" s="4">
        <f>Таблица1[[#This Row],[Нормированные остатки]]-E79</f>
        <v>-0.10812075106865127</v>
      </c>
    </row>
    <row r="79" spans="1:6" x14ac:dyDescent="0.25">
      <c r="A79">
        <v>42</v>
      </c>
      <c r="B79">
        <v>-7</v>
      </c>
      <c r="C79" s="4">
        <f t="shared" si="2"/>
        <v>-5.5055261213887983</v>
      </c>
      <c r="D79" s="4">
        <f>ABS(Таблица1[[#This Row],[Предсказанные значения]]-Таблица1[[#This Row],[Z]])</f>
        <v>1.4944738786112017</v>
      </c>
      <c r="E79" s="4">
        <f>ABS(Таблица1[[#This Row],[Остатки]]/Таблица1[[#This Row],[Z]])</f>
        <v>0.21349626837302882</v>
      </c>
      <c r="F79" s="4">
        <f>Таблица1[[#This Row],[Нормированные остатки]]-E80</f>
        <v>-9.6311266597144285E-2</v>
      </c>
    </row>
    <row r="80" spans="1:6" x14ac:dyDescent="0.25">
      <c r="A80">
        <v>24</v>
      </c>
      <c r="B80">
        <v>-8</v>
      </c>
      <c r="C80" s="4">
        <f t="shared" si="2"/>
        <v>-5.5215397202386152</v>
      </c>
      <c r="D80" s="4">
        <f>ABS(Таблица1[[#This Row],[Предсказанные значения]]-Таблица1[[#This Row],[Z]])</f>
        <v>2.4784602797613848</v>
      </c>
      <c r="E80" s="4">
        <f>ABS(Таблица1[[#This Row],[Остатки]]/Таблица1[[#This Row],[Z]])</f>
        <v>0.3098075349701731</v>
      </c>
      <c r="F80" s="4">
        <f>Таблица1[[#This Row],[Нормированные остатки]]-E81</f>
        <v>-0.13866124407234715</v>
      </c>
    </row>
    <row r="81" spans="1:6" x14ac:dyDescent="0.25">
      <c r="A81">
        <v>31</v>
      </c>
      <c r="B81">
        <v>-10</v>
      </c>
      <c r="C81" s="4">
        <f t="shared" si="2"/>
        <v>-5.5153122095747973</v>
      </c>
      <c r="D81" s="4">
        <f>ABS(Таблица1[[#This Row],[Предсказанные значения]]-Таблица1[[#This Row],[Z]])</f>
        <v>4.4846877904252027</v>
      </c>
      <c r="E81" s="4">
        <f>ABS(Таблица1[[#This Row],[Остатки]]/Таблица1[[#This Row],[Z]])</f>
        <v>0.44846877904252025</v>
      </c>
      <c r="F81" s="4">
        <f>Таблица1[[#This Row],[Нормированные остатки]]-E82</f>
        <v>0.34469462162312436</v>
      </c>
    </row>
    <row r="82" spans="1:6" x14ac:dyDescent="0.25">
      <c r="A82">
        <v>27</v>
      </c>
      <c r="B82">
        <v>-5</v>
      </c>
      <c r="C82" s="4">
        <f t="shared" si="2"/>
        <v>-5.5188707870969793</v>
      </c>
      <c r="D82" s="4">
        <f>ABS(Таблица1[[#This Row],[Предсказанные значения]]-Таблица1[[#This Row],[Z]])</f>
        <v>0.51887078709697931</v>
      </c>
      <c r="E82" s="4">
        <f>ABS(Таблица1[[#This Row],[Остатки]]/Таблица1[[#This Row],[Z]])</f>
        <v>0.10377415741939586</v>
      </c>
      <c r="F82" s="4">
        <f>Таблица1[[#This Row],[Нормированные остатки]]-E83</f>
        <v>2.2548036824922763E-2</v>
      </c>
    </row>
    <row r="83" spans="1:6" x14ac:dyDescent="0.25">
      <c r="A83">
        <v>34</v>
      </c>
      <c r="B83">
        <v>-6</v>
      </c>
      <c r="C83" s="4">
        <f t="shared" si="2"/>
        <v>-5.5126432764331614</v>
      </c>
      <c r="D83" s="4">
        <f>ABS(Таблица1[[#This Row],[Предсказанные значения]]-Таблица1[[#This Row],[Z]])</f>
        <v>0.48735672356683857</v>
      </c>
      <c r="E83" s="4">
        <f>ABS(Таблица1[[#This Row],[Остатки]]/Таблица1[[#This Row],[Z]])</f>
        <v>8.1226120594473095E-2</v>
      </c>
      <c r="F83" s="4">
        <f>Таблица1[[#This Row],[Нормированные остатки]]-E84</f>
        <v>-2.3081823453249939E-2</v>
      </c>
    </row>
    <row r="84" spans="1:6" x14ac:dyDescent="0.25">
      <c r="A84">
        <v>24</v>
      </c>
      <c r="B84">
        <v>-5</v>
      </c>
      <c r="C84" s="4">
        <f t="shared" si="2"/>
        <v>-5.5215397202386152</v>
      </c>
      <c r="D84" s="4">
        <f>ABS(Таблица1[[#This Row],[Предсказанные значения]]-Таблица1[[#This Row],[Z]])</f>
        <v>0.52153972023861517</v>
      </c>
      <c r="E84" s="4">
        <f>ABS(Таблица1[[#This Row],[Остатки]]/Таблица1[[#This Row],[Z]])</f>
        <v>0.10430794404772303</v>
      </c>
      <c r="F84" s="4">
        <f>Таблица1[[#This Row],[Нормированные остатки]]-E85</f>
        <v>3.3806486460724317E-3</v>
      </c>
    </row>
    <row r="85" spans="1:6" x14ac:dyDescent="0.25">
      <c r="A85">
        <v>43</v>
      </c>
      <c r="B85">
        <v>-5</v>
      </c>
      <c r="C85" s="4">
        <f t="shared" si="2"/>
        <v>-5.504636477008253</v>
      </c>
      <c r="D85" s="4">
        <f>ABS(Таблица1[[#This Row],[Предсказанные значения]]-Таблица1[[#This Row],[Z]])</f>
        <v>0.50463647700825298</v>
      </c>
      <c r="E85" s="4">
        <f>ABS(Таблица1[[#This Row],[Остатки]]/Таблица1[[#This Row],[Z]])</f>
        <v>0.1009272954016506</v>
      </c>
      <c r="F85" s="4">
        <f>Таблица1[[#This Row],[Нормированные остатки]]-E86</f>
        <v>-0.27456459056500371</v>
      </c>
    </row>
    <row r="86" spans="1:6" x14ac:dyDescent="0.25">
      <c r="A86">
        <v>46</v>
      </c>
      <c r="B86">
        <v>-4</v>
      </c>
      <c r="C86" s="4">
        <f t="shared" si="2"/>
        <v>-5.5019675438666171</v>
      </c>
      <c r="D86" s="4">
        <f>ABS(Таблица1[[#This Row],[Предсказанные значения]]-Таблица1[[#This Row],[Z]])</f>
        <v>1.5019675438666171</v>
      </c>
      <c r="E86" s="4">
        <f>ABS(Таблица1[[#This Row],[Остатки]]/Таблица1[[#This Row],[Z]])</f>
        <v>0.37549188596665428</v>
      </c>
      <c r="F86" s="4">
        <f>Таблица1[[#This Row],[Нормированные остатки]]-E87</f>
        <v>6.4238678878094979E-2</v>
      </c>
    </row>
    <row r="87" spans="1:6" x14ac:dyDescent="0.25">
      <c r="A87">
        <v>37</v>
      </c>
      <c r="B87">
        <v>-8</v>
      </c>
      <c r="C87" s="4">
        <f t="shared" si="2"/>
        <v>-5.5099743432915256</v>
      </c>
      <c r="D87" s="4">
        <f>ABS(Таблица1[[#This Row],[Предсказанные значения]]-Таблица1[[#This Row],[Z]])</f>
        <v>2.4900256567084744</v>
      </c>
      <c r="E87" s="4">
        <f>ABS(Таблица1[[#This Row],[Остатки]]/Таблица1[[#This Row],[Z]])</f>
        <v>0.3112532070885593</v>
      </c>
      <c r="F87" s="4">
        <f>Таблица1[[#This Row],[Нормированные остатки]]-E88</f>
        <v>0.22987881243066199</v>
      </c>
    </row>
    <row r="88" spans="1:6" x14ac:dyDescent="0.25">
      <c r="A88">
        <v>35</v>
      </c>
      <c r="B88">
        <v>-6</v>
      </c>
      <c r="C88" s="4">
        <f t="shared" si="2"/>
        <v>-5.5117536320526161</v>
      </c>
      <c r="D88" s="4">
        <f>ABS(Таблица1[[#This Row],[Предсказанные значения]]-Таблица1[[#This Row],[Z]])</f>
        <v>0.48824636794738385</v>
      </c>
      <c r="E88" s="4">
        <f>ABS(Таблица1[[#This Row],[Остатки]]/Таблица1[[#This Row],[Z]])</f>
        <v>8.1374394657897309E-2</v>
      </c>
      <c r="F88" s="4">
        <f>Таблица1[[#This Row],[Нормированные остатки]]-E89</f>
        <v>-0.13034258495404069</v>
      </c>
    </row>
    <row r="89" spans="1:6" x14ac:dyDescent="0.25">
      <c r="A89">
        <v>28</v>
      </c>
      <c r="B89">
        <v>-7</v>
      </c>
      <c r="C89" s="4">
        <f t="shared" si="2"/>
        <v>-5.517981142716434</v>
      </c>
      <c r="D89" s="4">
        <f>ABS(Таблица1[[#This Row],[Предсказанные значения]]-Таблица1[[#This Row],[Z]])</f>
        <v>1.482018857283566</v>
      </c>
      <c r="E89" s="4">
        <f>ABS(Таблица1[[#This Row],[Остатки]]/Таблица1[[#This Row],[Z]])</f>
        <v>0.211716979611938</v>
      </c>
      <c r="F89" s="4">
        <f>Таблица1[[#This Row],[Нормированные остатки]]-E90</f>
        <v>-4.3116020293877675</v>
      </c>
    </row>
    <row r="90" spans="1:6" x14ac:dyDescent="0.25">
      <c r="A90">
        <v>22</v>
      </c>
      <c r="B90">
        <v>-1</v>
      </c>
      <c r="C90" s="4">
        <f t="shared" si="2"/>
        <v>-5.5233190089997057</v>
      </c>
      <c r="D90" s="4">
        <f>ABS(Таблица1[[#This Row],[Предсказанные значения]]-Таблица1[[#This Row],[Z]])</f>
        <v>4.5233190089997057</v>
      </c>
      <c r="E90" s="4">
        <f>ABS(Таблица1[[#This Row],[Остатки]]/Таблица1[[#This Row],[Z]])</f>
        <v>4.5233190089997057</v>
      </c>
      <c r="F90" s="4">
        <f>Таблица1[[#This Row],[Нормированные остатки]]-E91</f>
        <v>4.0744943722049669</v>
      </c>
    </row>
    <row r="91" spans="1:6" x14ac:dyDescent="0.25">
      <c r="A91">
        <v>35</v>
      </c>
      <c r="B91">
        <v>-10</v>
      </c>
      <c r="C91" s="4">
        <f t="shared" si="2"/>
        <v>-5.5117536320526161</v>
      </c>
      <c r="D91" s="4">
        <f>ABS(Таблица1[[#This Row],[Предсказанные значения]]-Таблица1[[#This Row],[Z]])</f>
        <v>4.4882463679473839</v>
      </c>
      <c r="E91" s="4">
        <f>ABS(Таблица1[[#This Row],[Остатки]]/Таблица1[[#This Row],[Z]])</f>
        <v>0.44882463679473839</v>
      </c>
      <c r="F91" s="4">
        <f>Таблица1[[#This Row],[Нормированные остатки]]-E92</f>
        <v>0.44882463679473839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BAD4-FAC3-4071-9910-6C5A1C40CCD4}">
  <dimension ref="A1:I115"/>
  <sheetViews>
    <sheetView workbookViewId="0">
      <selection activeCell="F6" sqref="F6"/>
    </sheetView>
  </sheetViews>
  <sheetFormatPr defaultRowHeight="15" x14ac:dyDescent="0.25"/>
  <cols>
    <col min="1" max="1" width="26.28515625" bestFit="1" customWidth="1"/>
    <col min="2" max="2" width="17.140625" bestFit="1" customWidth="1"/>
    <col min="3" max="3" width="23.28515625" bestFit="1" customWidth="1"/>
    <col min="4" max="4" width="25" bestFit="1" customWidth="1"/>
    <col min="5" max="5" width="12" bestFit="1" customWidth="1"/>
    <col min="6" max="6" width="14.7109375" bestFit="1" customWidth="1"/>
    <col min="7" max="7" width="13.140625" bestFit="1" customWidth="1"/>
    <col min="8" max="8" width="14.7109375" bestFit="1" customWidth="1"/>
    <col min="9" max="9" width="14.8554687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 s="4">
        <v>2.5542176343455059E-3</v>
      </c>
      <c r="C4" s="4"/>
      <c r="D4" s="4"/>
      <c r="E4" s="4"/>
      <c r="F4" s="4"/>
      <c r="G4" s="4"/>
      <c r="H4" s="4"/>
    </row>
    <row r="5" spans="1:9" x14ac:dyDescent="0.25">
      <c r="A5" t="s">
        <v>10</v>
      </c>
      <c r="B5" s="4">
        <v>6.5240277236015531E-6</v>
      </c>
      <c r="C5" s="4"/>
      <c r="D5" s="4"/>
      <c r="E5" s="4"/>
      <c r="F5" s="4"/>
      <c r="G5" s="4"/>
      <c r="H5" s="4"/>
    </row>
    <row r="6" spans="1:9" x14ac:dyDescent="0.25">
      <c r="A6" t="s">
        <v>11</v>
      </c>
      <c r="B6" s="4">
        <v>-1.1357038199234086E-2</v>
      </c>
      <c r="C6" s="4"/>
      <c r="D6" s="4"/>
      <c r="E6" s="4"/>
      <c r="F6" s="4"/>
      <c r="G6" s="4"/>
      <c r="H6" s="4"/>
    </row>
    <row r="7" spans="1:9" x14ac:dyDescent="0.25">
      <c r="A7" t="s">
        <v>12</v>
      </c>
      <c r="B7" s="4">
        <v>3.105133859879647</v>
      </c>
      <c r="C7" s="4"/>
      <c r="D7" s="4"/>
      <c r="E7" s="4"/>
      <c r="F7" s="4"/>
      <c r="G7" s="4"/>
      <c r="H7" s="12"/>
    </row>
    <row r="8" spans="1:9" ht="15.75" thickBot="1" x14ac:dyDescent="0.3">
      <c r="A8" s="1" t="s">
        <v>13</v>
      </c>
      <c r="B8" s="1">
        <v>90</v>
      </c>
      <c r="C8" s="4"/>
      <c r="D8" s="4"/>
      <c r="E8" s="4"/>
      <c r="F8" s="4"/>
      <c r="G8" s="4"/>
      <c r="H8" s="4"/>
    </row>
    <row r="9" spans="1:9" x14ac:dyDescent="0.25">
      <c r="B9" s="4"/>
      <c r="C9" s="4"/>
      <c r="D9" s="4"/>
      <c r="E9" s="4"/>
      <c r="F9" s="4"/>
      <c r="G9" s="4"/>
      <c r="H9" s="4"/>
    </row>
    <row r="10" spans="1:9" ht="15.75" thickBot="1" x14ac:dyDescent="0.3">
      <c r="A10" t="s">
        <v>14</v>
      </c>
      <c r="B10" s="4"/>
      <c r="C10" s="4"/>
      <c r="D10" s="4"/>
      <c r="E10" s="4"/>
      <c r="F10" s="4"/>
      <c r="G10" s="4"/>
      <c r="H10" s="4"/>
    </row>
    <row r="11" spans="1:9" x14ac:dyDescent="0.25">
      <c r="A11" s="2"/>
      <c r="B11" s="6" t="s">
        <v>3</v>
      </c>
      <c r="C11" s="6" t="s">
        <v>4</v>
      </c>
      <c r="D11" s="6" t="s">
        <v>5</v>
      </c>
      <c r="E11" s="6" t="s">
        <v>6</v>
      </c>
      <c r="F11" s="6" t="s">
        <v>19</v>
      </c>
      <c r="G11" s="4"/>
      <c r="H11" s="4"/>
    </row>
    <row r="12" spans="1:9" x14ac:dyDescent="0.25">
      <c r="A12" t="s">
        <v>15</v>
      </c>
      <c r="B12" s="4">
        <v>1</v>
      </c>
      <c r="C12" s="4">
        <v>5.5355650342789886E-3</v>
      </c>
      <c r="D12" s="4">
        <v>5.5355650342789886E-3</v>
      </c>
      <c r="E12" s="4">
        <v>5.7411818523989372E-4</v>
      </c>
      <c r="F12" s="4">
        <v>0.98093815551696417</v>
      </c>
      <c r="G12" s="4"/>
      <c r="H12" s="4"/>
    </row>
    <row r="13" spans="1:9" x14ac:dyDescent="0.25">
      <c r="A13" t="s">
        <v>16</v>
      </c>
      <c r="B13" s="4">
        <v>88</v>
      </c>
      <c r="C13" s="4">
        <v>848.48335332385454</v>
      </c>
      <c r="D13" s="4">
        <v>9.6418562877710752</v>
      </c>
      <c r="E13" s="4"/>
      <c r="F13" s="4"/>
      <c r="G13" s="4"/>
      <c r="H13" s="4"/>
    </row>
    <row r="14" spans="1:9" ht="15.75" thickBot="1" x14ac:dyDescent="0.3">
      <c r="A14" s="1" t="s">
        <v>17</v>
      </c>
      <c r="B14" s="5">
        <v>89</v>
      </c>
      <c r="C14" s="5">
        <v>848.48888888888882</v>
      </c>
      <c r="D14" s="5"/>
      <c r="E14" s="5"/>
      <c r="F14" s="5"/>
      <c r="G14" s="4"/>
      <c r="H14" s="4"/>
    </row>
    <row r="15" spans="1:9" ht="15.75" thickBot="1" x14ac:dyDescent="0.3">
      <c r="B15" s="4"/>
      <c r="C15" s="4"/>
      <c r="D15" s="4"/>
      <c r="E15" s="4"/>
      <c r="F15" s="4"/>
      <c r="G15" s="4"/>
      <c r="H15" s="4"/>
    </row>
    <row r="16" spans="1:9" x14ac:dyDescent="0.25">
      <c r="A16" s="2"/>
      <c r="B16" s="6" t="s">
        <v>20</v>
      </c>
      <c r="C16" s="6" t="s">
        <v>12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2" t="s">
        <v>26</v>
      </c>
    </row>
    <row r="17" spans="1:9" x14ac:dyDescent="0.25">
      <c r="A17" t="s">
        <v>18</v>
      </c>
      <c r="B17" s="4">
        <v>-5.5428911853717047</v>
      </c>
      <c r="C17" s="4">
        <v>1.3661275852640415</v>
      </c>
      <c r="D17" s="4">
        <v>-4.0573744686521271</v>
      </c>
      <c r="E17" s="4">
        <v>1.0712537012381235E-4</v>
      </c>
      <c r="F17" s="4">
        <v>-8.2577826896332169</v>
      </c>
      <c r="G17" s="4">
        <v>-2.827999681110192</v>
      </c>
      <c r="H17" s="4">
        <v>-8.2577826896332169</v>
      </c>
      <c r="I17" s="4">
        <v>-2.827999681110192</v>
      </c>
    </row>
    <row r="18" spans="1:9" ht="15.75" thickBot="1" x14ac:dyDescent="0.3">
      <c r="A18" s="1" t="s">
        <v>0</v>
      </c>
      <c r="B18" s="5">
        <v>8.8964438054538804E-4</v>
      </c>
      <c r="C18" s="5">
        <v>3.7129216783122858E-2</v>
      </c>
      <c r="D18" s="5">
        <v>2.3960763453264578E-2</v>
      </c>
      <c r="E18" s="5">
        <v>0.9809381555165757</v>
      </c>
      <c r="F18" s="5">
        <v>-7.2896871821674133E-2</v>
      </c>
      <c r="G18" s="5">
        <v>7.4676160582764897E-2</v>
      </c>
      <c r="H18" s="5">
        <v>-7.2896871821674133E-2</v>
      </c>
      <c r="I18" s="5">
        <v>7.4676160582764897E-2</v>
      </c>
    </row>
    <row r="19" spans="1:9" x14ac:dyDescent="0.25">
      <c r="B19" s="4"/>
      <c r="C19" s="4"/>
      <c r="D19" s="4"/>
      <c r="E19" s="4"/>
      <c r="F19" s="4"/>
      <c r="G19" s="4"/>
      <c r="H19" s="4"/>
    </row>
    <row r="20" spans="1:9" x14ac:dyDescent="0.25">
      <c r="B20" s="4"/>
      <c r="C20" s="4"/>
      <c r="D20" s="4"/>
      <c r="E20" s="4"/>
      <c r="F20" s="4"/>
      <c r="G20" s="4"/>
      <c r="H20" s="4"/>
    </row>
    <row r="21" spans="1:9" x14ac:dyDescent="0.25">
      <c r="B21" s="4"/>
      <c r="C21" s="4"/>
      <c r="D21" s="4"/>
      <c r="E21" s="4"/>
      <c r="F21" s="4"/>
      <c r="G21" s="4"/>
      <c r="H21" s="4"/>
    </row>
    <row r="22" spans="1:9" x14ac:dyDescent="0.25">
      <c r="A22" t="s">
        <v>27</v>
      </c>
      <c r="B22" s="4"/>
      <c r="C22" s="4"/>
      <c r="D22" s="4"/>
      <c r="E22" s="4"/>
      <c r="F22" s="4"/>
      <c r="G22" s="4"/>
      <c r="H22" s="4"/>
    </row>
    <row r="23" spans="1:9" ht="15.75" thickBot="1" x14ac:dyDescent="0.3">
      <c r="B23" s="4"/>
      <c r="C23" s="4"/>
      <c r="D23" s="4"/>
      <c r="E23" s="4"/>
      <c r="F23" s="4"/>
      <c r="G23" s="4"/>
      <c r="H23" s="4"/>
    </row>
    <row r="24" spans="1:9" x14ac:dyDescent="0.25">
      <c r="A24" s="2" t="s">
        <v>28</v>
      </c>
      <c r="B24" s="6" t="s">
        <v>31</v>
      </c>
      <c r="C24" s="6" t="s">
        <v>29</v>
      </c>
      <c r="D24" s="6" t="s">
        <v>30</v>
      </c>
      <c r="E24" s="4"/>
      <c r="F24" s="4"/>
      <c r="G24" s="4"/>
      <c r="H24" s="4"/>
    </row>
    <row r="25" spans="1:9" x14ac:dyDescent="0.25">
      <c r="A25">
        <v>1</v>
      </c>
      <c r="B25" s="4">
        <v>-5.5206500758580699</v>
      </c>
      <c r="C25" s="4">
        <v>-1.4793499241419301</v>
      </c>
      <c r="D25" s="4">
        <v>-0.47911994919478912</v>
      </c>
      <c r="E25" s="4"/>
      <c r="F25" s="4"/>
      <c r="G25" s="4"/>
      <c r="H25" s="4"/>
    </row>
    <row r="26" spans="1:9" x14ac:dyDescent="0.25">
      <c r="A26">
        <v>2</v>
      </c>
      <c r="B26" s="4">
        <v>-5.5010778994860718</v>
      </c>
      <c r="C26" s="4">
        <v>-0.49892210051392816</v>
      </c>
      <c r="D26" s="4">
        <v>-0.16158687511951816</v>
      </c>
      <c r="E26" s="4"/>
      <c r="F26" s="4"/>
      <c r="G26" s="4"/>
      <c r="H26" s="4"/>
    </row>
    <row r="27" spans="1:9" x14ac:dyDescent="0.25">
      <c r="A27">
        <v>3</v>
      </c>
      <c r="B27" s="4">
        <v>-5.5055261213887983</v>
      </c>
      <c r="C27" s="4">
        <v>-4.4944738786112017</v>
      </c>
      <c r="D27" s="4">
        <v>-1.4556340330544455</v>
      </c>
      <c r="E27" s="4"/>
      <c r="F27" s="4"/>
      <c r="G27" s="4"/>
      <c r="H27" s="4"/>
    </row>
    <row r="28" spans="1:9" x14ac:dyDescent="0.25">
      <c r="A28">
        <v>4</v>
      </c>
      <c r="B28" s="4">
        <v>-5.5090846989109803</v>
      </c>
      <c r="C28" s="4">
        <v>4.5090846989109803</v>
      </c>
      <c r="D28" s="4">
        <v>1.4603660679607808</v>
      </c>
      <c r="E28" s="4"/>
      <c r="F28" s="4"/>
      <c r="G28" s="4"/>
      <c r="H28" s="4"/>
    </row>
    <row r="29" spans="1:9" x14ac:dyDescent="0.25">
      <c r="A29">
        <v>5</v>
      </c>
      <c r="B29" s="4">
        <v>-5.5162018539553435</v>
      </c>
      <c r="C29" s="4">
        <v>3.5162018539553435</v>
      </c>
      <c r="D29" s="4">
        <v>1.1387991618026929</v>
      </c>
      <c r="E29" s="4"/>
      <c r="F29" s="4"/>
      <c r="G29" s="4"/>
      <c r="H29" s="4"/>
    </row>
    <row r="30" spans="1:9" x14ac:dyDescent="0.25">
      <c r="A30">
        <v>6</v>
      </c>
      <c r="B30" s="4">
        <v>-5.5162018539553435</v>
      </c>
      <c r="C30" s="4">
        <v>-0.48379814604465654</v>
      </c>
      <c r="D30" s="4">
        <v>-0.156688650447526</v>
      </c>
      <c r="E30" s="4"/>
      <c r="F30" s="4"/>
      <c r="G30" s="4"/>
      <c r="H30" s="4"/>
    </row>
    <row r="31" spans="1:9" x14ac:dyDescent="0.25">
      <c r="A31">
        <v>7</v>
      </c>
      <c r="B31" s="4">
        <v>-5.514422565194252</v>
      </c>
      <c r="C31" s="4">
        <v>-0.485577434805748</v>
      </c>
      <c r="D31" s="4">
        <v>-0.15726491217364297</v>
      </c>
      <c r="E31" s="4"/>
      <c r="F31" s="4"/>
      <c r="G31" s="4"/>
      <c r="H31" s="4"/>
    </row>
    <row r="32" spans="1:9" x14ac:dyDescent="0.25">
      <c r="A32">
        <v>8</v>
      </c>
      <c r="B32" s="4">
        <v>-5.5090846989109803</v>
      </c>
      <c r="C32" s="4">
        <v>0.50908469891098029</v>
      </c>
      <c r="D32" s="4">
        <v>0.16487825571056183</v>
      </c>
      <c r="E32" s="4"/>
      <c r="F32" s="4"/>
      <c r="G32" s="4"/>
      <c r="H32" s="4"/>
    </row>
    <row r="33" spans="1:8" x14ac:dyDescent="0.25">
      <c r="A33">
        <v>9</v>
      </c>
      <c r="B33" s="4">
        <v>-5.5126432764331614</v>
      </c>
      <c r="C33" s="4">
        <v>-4.4873567235668386</v>
      </c>
      <c r="D33" s="4">
        <v>-1.4533289861499785</v>
      </c>
      <c r="E33" s="4"/>
      <c r="F33" s="4"/>
      <c r="G33" s="4"/>
      <c r="H33" s="4"/>
    </row>
    <row r="34" spans="1:8" x14ac:dyDescent="0.25">
      <c r="A34">
        <v>10</v>
      </c>
      <c r="B34" s="4">
        <v>-5.5126432764331614</v>
      </c>
      <c r="C34" s="4">
        <v>1.5126432764331614</v>
      </c>
      <c r="D34" s="4">
        <v>0.48990273222534991</v>
      </c>
      <c r="E34" s="4"/>
      <c r="F34" s="4"/>
      <c r="G34" s="4"/>
      <c r="H34" s="4"/>
    </row>
    <row r="35" spans="1:8" x14ac:dyDescent="0.25">
      <c r="A35">
        <v>11</v>
      </c>
      <c r="B35" s="4">
        <v>-5.5064157657693436</v>
      </c>
      <c r="C35" s="4">
        <v>-3.4935842342306564</v>
      </c>
      <c r="D35" s="4">
        <v>-1.1314739491288324</v>
      </c>
      <c r="E35" s="4"/>
      <c r="F35" s="4"/>
      <c r="G35" s="4"/>
      <c r="H35" s="4"/>
    </row>
    <row r="36" spans="1:8" x14ac:dyDescent="0.25">
      <c r="A36">
        <v>12</v>
      </c>
      <c r="B36" s="4">
        <v>-5.5099743432915256</v>
      </c>
      <c r="C36" s="4">
        <v>0.50997434329152558</v>
      </c>
      <c r="D36" s="4">
        <v>0.16516638657362015</v>
      </c>
      <c r="E36" s="4"/>
      <c r="F36" s="4"/>
      <c r="G36" s="4"/>
      <c r="H36" s="4"/>
    </row>
    <row r="37" spans="1:8" x14ac:dyDescent="0.25">
      <c r="A37">
        <v>13</v>
      </c>
      <c r="B37" s="4">
        <v>-5.5081950545304341</v>
      </c>
      <c r="C37" s="4">
        <v>-1.4918049454695659</v>
      </c>
      <c r="D37" s="4">
        <v>-0.48315378127760628</v>
      </c>
      <c r="E37" s="4"/>
      <c r="F37" s="4"/>
      <c r="G37" s="4"/>
      <c r="H37" s="4"/>
    </row>
    <row r="38" spans="1:8" x14ac:dyDescent="0.25">
      <c r="A38">
        <v>14</v>
      </c>
      <c r="B38" s="4">
        <v>-5.5108639876720709</v>
      </c>
      <c r="C38" s="4">
        <v>2.5108639876720709</v>
      </c>
      <c r="D38" s="4">
        <v>0.81319842356178795</v>
      </c>
      <c r="E38" s="4"/>
      <c r="F38" s="4"/>
      <c r="G38" s="4"/>
      <c r="H38" s="4"/>
    </row>
    <row r="39" spans="1:8" x14ac:dyDescent="0.25">
      <c r="A39">
        <v>15</v>
      </c>
      <c r="B39" s="4">
        <v>-5.5126432764331614</v>
      </c>
      <c r="C39" s="4">
        <v>-4.4873567235668386</v>
      </c>
      <c r="D39" s="4">
        <v>-1.4533289861499785</v>
      </c>
      <c r="E39" s="4"/>
      <c r="F39" s="4"/>
      <c r="G39" s="4"/>
      <c r="H39" s="4"/>
    </row>
    <row r="40" spans="1:8" x14ac:dyDescent="0.25">
      <c r="A40">
        <v>16</v>
      </c>
      <c r="B40" s="4">
        <v>-5.5170914983358887</v>
      </c>
      <c r="C40" s="4">
        <v>4.5170914983358887</v>
      </c>
      <c r="D40" s="4">
        <v>1.462959245728306</v>
      </c>
      <c r="E40" s="4"/>
      <c r="F40" s="4"/>
      <c r="G40" s="4"/>
      <c r="H40" s="4"/>
    </row>
    <row r="41" spans="1:8" x14ac:dyDescent="0.25">
      <c r="A41">
        <v>17</v>
      </c>
      <c r="B41" s="4">
        <v>-5.5153122095747973</v>
      </c>
      <c r="C41" s="4">
        <v>2.5153122095747973</v>
      </c>
      <c r="D41" s="4">
        <v>0.81463907787707956</v>
      </c>
      <c r="E41" s="4"/>
      <c r="F41" s="4"/>
      <c r="G41" s="4"/>
      <c r="H41" s="4"/>
    </row>
    <row r="42" spans="1:8" x14ac:dyDescent="0.25">
      <c r="A42">
        <v>18</v>
      </c>
      <c r="B42" s="4">
        <v>-5.5064157657693436</v>
      </c>
      <c r="C42" s="4">
        <v>0.50641576576934355</v>
      </c>
      <c r="D42" s="4">
        <v>0.16401386312138655</v>
      </c>
      <c r="E42" s="4"/>
      <c r="F42" s="4"/>
      <c r="G42" s="4"/>
      <c r="H42" s="4"/>
    </row>
    <row r="43" spans="1:8" x14ac:dyDescent="0.25">
      <c r="A43">
        <v>19</v>
      </c>
      <c r="B43" s="4">
        <v>-5.5295465196635236</v>
      </c>
      <c r="C43" s="4">
        <v>0.52954651966352362</v>
      </c>
      <c r="D43" s="4">
        <v>0.17150526556090395</v>
      </c>
      <c r="E43" s="4"/>
      <c r="F43" s="4"/>
      <c r="G43" s="4"/>
      <c r="H43" s="4"/>
    </row>
    <row r="44" spans="1:8" x14ac:dyDescent="0.25">
      <c r="A44">
        <v>20</v>
      </c>
      <c r="B44" s="4">
        <v>-5.5188707870969793</v>
      </c>
      <c r="C44" s="4">
        <v>4.5188707870969793</v>
      </c>
      <c r="D44" s="4">
        <v>1.4635355074544227</v>
      </c>
      <c r="E44" s="4"/>
      <c r="F44" s="4"/>
      <c r="G44" s="4"/>
      <c r="H44" s="4"/>
    </row>
    <row r="45" spans="1:8" x14ac:dyDescent="0.25">
      <c r="A45">
        <v>21</v>
      </c>
      <c r="B45" s="4">
        <v>-5.5019675438666171</v>
      </c>
      <c r="C45" s="4">
        <v>6.5019675438666171</v>
      </c>
      <c r="D45" s="4">
        <v>2.1058049271814232</v>
      </c>
      <c r="E45" s="4"/>
      <c r="F45" s="4"/>
      <c r="G45" s="4"/>
      <c r="H45" s="4"/>
    </row>
    <row r="46" spans="1:8" x14ac:dyDescent="0.25">
      <c r="A46">
        <v>22</v>
      </c>
      <c r="B46" s="4">
        <v>-5.5126432764331614</v>
      </c>
      <c r="C46" s="4">
        <v>-4.4873567235668386</v>
      </c>
      <c r="D46" s="4">
        <v>-1.4533289861499785</v>
      </c>
      <c r="E46" s="4"/>
      <c r="F46" s="4"/>
      <c r="G46" s="4"/>
      <c r="H46" s="4"/>
    </row>
    <row r="47" spans="1:8" x14ac:dyDescent="0.25">
      <c r="A47">
        <v>23</v>
      </c>
      <c r="B47" s="4">
        <v>-5.5081950545304341</v>
      </c>
      <c r="C47" s="4">
        <v>2.5081950545304341</v>
      </c>
      <c r="D47" s="4">
        <v>0.8123340309726127</v>
      </c>
      <c r="E47" s="4"/>
      <c r="F47" s="4"/>
      <c r="G47" s="4"/>
      <c r="H47" s="4"/>
    </row>
    <row r="48" spans="1:8" x14ac:dyDescent="0.25">
      <c r="A48">
        <v>24</v>
      </c>
      <c r="B48" s="4">
        <v>-5.4992986107249804</v>
      </c>
      <c r="C48" s="4">
        <v>-3.5007013892750196</v>
      </c>
      <c r="D48" s="4">
        <v>-1.1337789960332993</v>
      </c>
      <c r="E48" s="4"/>
      <c r="F48" s="4"/>
      <c r="G48" s="4"/>
      <c r="H48" s="4"/>
    </row>
    <row r="49" spans="1:8" x14ac:dyDescent="0.25">
      <c r="A49">
        <v>25</v>
      </c>
      <c r="B49" s="4">
        <v>-5.5233190089997057</v>
      </c>
      <c r="C49" s="4">
        <v>-0.47668099100029426</v>
      </c>
      <c r="D49" s="4">
        <v>-0.15438360354305938</v>
      </c>
      <c r="E49" s="4"/>
      <c r="F49" s="4"/>
      <c r="G49" s="4"/>
      <c r="H49" s="4"/>
    </row>
    <row r="50" spans="1:8" x14ac:dyDescent="0.25">
      <c r="A50">
        <v>26</v>
      </c>
      <c r="B50" s="4">
        <v>-5.5001882551055257</v>
      </c>
      <c r="C50" s="4">
        <v>3.5001882551055257</v>
      </c>
      <c r="D50" s="4">
        <v>1.1336128062676423</v>
      </c>
      <c r="E50" s="4"/>
      <c r="F50" s="4"/>
      <c r="G50" s="4"/>
      <c r="H50" s="4"/>
    </row>
    <row r="51" spans="1:8" x14ac:dyDescent="0.25">
      <c r="A51">
        <v>27</v>
      </c>
      <c r="B51" s="4">
        <v>-5.5162018539553435</v>
      </c>
      <c r="C51" s="4">
        <v>3.5162018539553435</v>
      </c>
      <c r="D51" s="4">
        <v>1.1387991618026929</v>
      </c>
      <c r="E51" s="4"/>
      <c r="F51" s="4"/>
      <c r="G51" s="4"/>
      <c r="H51" s="4"/>
    </row>
    <row r="52" spans="1:8" x14ac:dyDescent="0.25">
      <c r="A52">
        <v>28</v>
      </c>
      <c r="B52" s="4">
        <v>-5.5170914983358887</v>
      </c>
      <c r="C52" s="4">
        <v>-2.4829085016641113</v>
      </c>
      <c r="D52" s="4">
        <v>-0.80414442570957723</v>
      </c>
      <c r="E52" s="4"/>
      <c r="F52" s="4"/>
      <c r="G52" s="4"/>
      <c r="H52" s="4"/>
    </row>
    <row r="53" spans="1:8" x14ac:dyDescent="0.25">
      <c r="A53">
        <v>29</v>
      </c>
      <c r="B53" s="4">
        <v>-5.5170914983358887</v>
      </c>
      <c r="C53" s="4">
        <v>-3.4829085016641113</v>
      </c>
      <c r="D53" s="4">
        <v>-1.128016378772132</v>
      </c>
      <c r="E53" s="4"/>
      <c r="F53" s="4"/>
      <c r="G53" s="4"/>
      <c r="H53" s="4"/>
    </row>
    <row r="54" spans="1:8" x14ac:dyDescent="0.25">
      <c r="A54">
        <v>30</v>
      </c>
      <c r="B54" s="4">
        <v>-5.5090846989109803</v>
      </c>
      <c r="C54" s="4">
        <v>3.5090846989109803</v>
      </c>
      <c r="D54" s="4">
        <v>1.1364941148982262</v>
      </c>
      <c r="E54" s="4"/>
      <c r="F54" s="4"/>
      <c r="G54" s="4"/>
      <c r="H54" s="4"/>
    </row>
    <row r="55" spans="1:8" x14ac:dyDescent="0.25">
      <c r="A55">
        <v>31</v>
      </c>
      <c r="B55" s="4">
        <v>-5.5099743432915256</v>
      </c>
      <c r="C55" s="4">
        <v>-2.4900256567084744</v>
      </c>
      <c r="D55" s="4">
        <v>-0.80644947261404409</v>
      </c>
      <c r="E55" s="4"/>
      <c r="F55" s="4"/>
      <c r="G55" s="4"/>
      <c r="H55" s="4"/>
    </row>
    <row r="56" spans="1:8" x14ac:dyDescent="0.25">
      <c r="A56">
        <v>32</v>
      </c>
      <c r="B56" s="4">
        <v>-5.4939607444417087</v>
      </c>
      <c r="C56" s="4">
        <v>-3.5060392555582913</v>
      </c>
      <c r="D56" s="4">
        <v>-1.1355077812116494</v>
      </c>
      <c r="E56" s="4"/>
      <c r="F56" s="4"/>
      <c r="G56" s="4"/>
      <c r="H56" s="4"/>
    </row>
    <row r="57" spans="1:8" x14ac:dyDescent="0.25">
      <c r="A57">
        <v>33</v>
      </c>
      <c r="B57" s="4">
        <v>-5.5090846989109803</v>
      </c>
      <c r="C57" s="4">
        <v>-1.4909153010890197</v>
      </c>
      <c r="D57" s="4">
        <v>-0.48286565041454765</v>
      </c>
      <c r="E57" s="4"/>
      <c r="F57" s="4"/>
      <c r="G57" s="4"/>
      <c r="H57" s="4"/>
    </row>
    <row r="58" spans="1:8" x14ac:dyDescent="0.25">
      <c r="A58">
        <v>34</v>
      </c>
      <c r="B58" s="4">
        <v>-5.5188707870969793</v>
      </c>
      <c r="C58" s="4">
        <v>3.5188707870969793</v>
      </c>
      <c r="D58" s="4">
        <v>1.1396635543918681</v>
      </c>
      <c r="E58" s="4"/>
      <c r="F58" s="4"/>
      <c r="G58" s="4"/>
      <c r="H58" s="4"/>
    </row>
    <row r="59" spans="1:8" x14ac:dyDescent="0.25">
      <c r="A59">
        <v>35</v>
      </c>
      <c r="B59" s="4">
        <v>-5.5037468326277077</v>
      </c>
      <c r="C59" s="4">
        <v>0.5037468326277077</v>
      </c>
      <c r="D59" s="4">
        <v>0.16314947053221157</v>
      </c>
      <c r="E59" s="4"/>
      <c r="F59" s="4"/>
      <c r="G59" s="4"/>
      <c r="H59" s="4"/>
    </row>
    <row r="60" spans="1:8" x14ac:dyDescent="0.25">
      <c r="A60">
        <v>36</v>
      </c>
      <c r="B60" s="4">
        <v>-5.5001882551055257</v>
      </c>
      <c r="C60" s="4">
        <v>2.5001882551055257</v>
      </c>
      <c r="D60" s="4">
        <v>0.80974085320508749</v>
      </c>
      <c r="E60" s="4"/>
      <c r="F60" s="4"/>
      <c r="G60" s="4"/>
      <c r="H60" s="4"/>
    </row>
    <row r="61" spans="1:8" x14ac:dyDescent="0.25">
      <c r="A61">
        <v>37</v>
      </c>
      <c r="B61" s="4">
        <v>-5.5117536320526161</v>
      </c>
      <c r="C61" s="4">
        <v>-0.48824636794738385</v>
      </c>
      <c r="D61" s="4">
        <v>-0.15812930476281795</v>
      </c>
      <c r="E61" s="4"/>
      <c r="F61" s="4"/>
      <c r="G61" s="4"/>
      <c r="H61" s="4"/>
    </row>
    <row r="62" spans="1:8" x14ac:dyDescent="0.25">
      <c r="A62">
        <v>38</v>
      </c>
      <c r="B62" s="4">
        <v>-5.5117536320526161</v>
      </c>
      <c r="C62" s="4">
        <v>-4.4882463679473839</v>
      </c>
      <c r="D62" s="4">
        <v>-1.453617117013037</v>
      </c>
      <c r="E62" s="4"/>
      <c r="F62" s="4"/>
      <c r="G62" s="4"/>
      <c r="H62" s="4"/>
    </row>
    <row r="63" spans="1:8" x14ac:dyDescent="0.25">
      <c r="A63">
        <v>39</v>
      </c>
      <c r="B63" s="4">
        <v>-5.517981142716434</v>
      </c>
      <c r="C63" s="4">
        <v>1.517981142716434</v>
      </c>
      <c r="D63" s="4">
        <v>0.49163151740370015</v>
      </c>
      <c r="E63" s="4"/>
      <c r="F63" s="4"/>
      <c r="G63" s="4"/>
      <c r="H63" s="4"/>
    </row>
    <row r="64" spans="1:8" x14ac:dyDescent="0.25">
      <c r="A64">
        <v>40</v>
      </c>
      <c r="B64" s="4">
        <v>-5.5081950545304341</v>
      </c>
      <c r="C64" s="4">
        <v>-1.4918049454695659</v>
      </c>
      <c r="D64" s="4">
        <v>-0.48315378127760628</v>
      </c>
      <c r="E64" s="4"/>
      <c r="F64" s="4"/>
      <c r="G64" s="4"/>
      <c r="H64" s="4"/>
    </row>
    <row r="65" spans="1:8" x14ac:dyDescent="0.25">
      <c r="A65">
        <v>41</v>
      </c>
      <c r="B65" s="4">
        <v>-5.5090846989109803</v>
      </c>
      <c r="C65" s="4">
        <v>3.5090846989109803</v>
      </c>
      <c r="D65" s="4">
        <v>1.1364941148982262</v>
      </c>
      <c r="E65" s="4"/>
      <c r="F65" s="4"/>
      <c r="G65" s="4"/>
      <c r="H65" s="4"/>
    </row>
    <row r="66" spans="1:8" x14ac:dyDescent="0.25">
      <c r="A66">
        <v>42</v>
      </c>
      <c r="B66" s="4">
        <v>-5.5117536320526161</v>
      </c>
      <c r="C66" s="4">
        <v>1.5117536320526161</v>
      </c>
      <c r="D66" s="4">
        <v>0.48961460136229157</v>
      </c>
      <c r="E66" s="4"/>
      <c r="F66" s="4"/>
      <c r="G66" s="4"/>
      <c r="H66" s="4"/>
    </row>
    <row r="67" spans="1:8" x14ac:dyDescent="0.25">
      <c r="A67">
        <v>43</v>
      </c>
      <c r="B67" s="4">
        <v>-5.5073054101498888</v>
      </c>
      <c r="C67" s="4">
        <v>-4.4926945898501112</v>
      </c>
      <c r="D67" s="4">
        <v>-1.4550577713283288</v>
      </c>
      <c r="E67" s="4"/>
      <c r="F67" s="4"/>
      <c r="G67" s="4"/>
      <c r="H67" s="4"/>
    </row>
    <row r="68" spans="1:8" x14ac:dyDescent="0.25">
      <c r="A68">
        <v>44</v>
      </c>
      <c r="B68" s="4">
        <v>-5.5037468326277077</v>
      </c>
      <c r="C68" s="4">
        <v>-4.4962531673722923</v>
      </c>
      <c r="D68" s="4">
        <v>-1.4562102947805622</v>
      </c>
      <c r="E68" s="4"/>
      <c r="F68" s="4"/>
      <c r="G68" s="4"/>
      <c r="H68" s="4"/>
    </row>
    <row r="69" spans="1:8" x14ac:dyDescent="0.25">
      <c r="A69">
        <v>45</v>
      </c>
      <c r="B69" s="4">
        <v>-5.5162018539553435</v>
      </c>
      <c r="C69" s="4">
        <v>-3.4837981460446565</v>
      </c>
      <c r="D69" s="4">
        <v>-1.1283045096351902</v>
      </c>
      <c r="E69" s="4"/>
      <c r="F69" s="4"/>
      <c r="G69" s="4"/>
      <c r="H69" s="4"/>
    </row>
    <row r="70" spans="1:8" x14ac:dyDescent="0.25">
      <c r="A70">
        <v>46</v>
      </c>
      <c r="B70" s="4">
        <v>-5.504636477008253</v>
      </c>
      <c r="C70" s="4">
        <v>-4.495363522991747</v>
      </c>
      <c r="D70" s="4">
        <v>-1.455922163917504</v>
      </c>
      <c r="E70" s="4"/>
      <c r="F70" s="4"/>
      <c r="G70" s="4"/>
      <c r="H70" s="4"/>
    </row>
    <row r="71" spans="1:8" x14ac:dyDescent="0.25">
      <c r="A71">
        <v>47</v>
      </c>
      <c r="B71" s="4">
        <v>-5.504636477008253</v>
      </c>
      <c r="C71" s="4">
        <v>-4.495363522991747</v>
      </c>
      <c r="D71" s="4">
        <v>-1.455922163917504</v>
      </c>
      <c r="E71" s="4"/>
      <c r="F71" s="4"/>
      <c r="G71" s="4"/>
      <c r="H71" s="4"/>
    </row>
    <row r="72" spans="1:8" x14ac:dyDescent="0.25">
      <c r="A72">
        <v>48</v>
      </c>
      <c r="B72" s="4">
        <v>-5.5188707870969793</v>
      </c>
      <c r="C72" s="4">
        <v>-1.4811292129030207</v>
      </c>
      <c r="D72" s="4">
        <v>-0.47969621092090575</v>
      </c>
      <c r="E72" s="4"/>
      <c r="F72" s="4"/>
      <c r="G72" s="4"/>
      <c r="H72" s="4"/>
    </row>
    <row r="73" spans="1:8" x14ac:dyDescent="0.25">
      <c r="A73">
        <v>49</v>
      </c>
      <c r="B73" s="4">
        <v>-5.4992986107249804</v>
      </c>
      <c r="C73" s="4">
        <v>6.4992986107249804</v>
      </c>
      <c r="D73" s="4">
        <v>2.1049405345922483</v>
      </c>
      <c r="E73" s="4"/>
      <c r="F73" s="4"/>
      <c r="G73" s="4"/>
      <c r="H73" s="4"/>
    </row>
    <row r="74" spans="1:8" x14ac:dyDescent="0.25">
      <c r="A74">
        <v>50</v>
      </c>
      <c r="B74" s="4">
        <v>-5.5117536320526161</v>
      </c>
      <c r="C74" s="4">
        <v>7.5117536320526161</v>
      </c>
      <c r="D74" s="4">
        <v>2.43284631973762</v>
      </c>
      <c r="E74" s="4"/>
      <c r="F74" s="4"/>
      <c r="G74" s="4"/>
      <c r="H74" s="4"/>
    </row>
    <row r="75" spans="1:8" x14ac:dyDescent="0.25">
      <c r="A75">
        <v>51</v>
      </c>
      <c r="B75" s="4">
        <v>-5.5108639876720709</v>
      </c>
      <c r="C75" s="4">
        <v>-4.4891360123279291</v>
      </c>
      <c r="D75" s="4">
        <v>-1.4539052478760952</v>
      </c>
      <c r="E75" s="4"/>
      <c r="F75" s="4"/>
      <c r="G75" s="4"/>
      <c r="H75" s="4"/>
    </row>
    <row r="76" spans="1:8" x14ac:dyDescent="0.25">
      <c r="A76">
        <v>52</v>
      </c>
      <c r="B76" s="4">
        <v>-5.5295465196635236</v>
      </c>
      <c r="C76" s="4">
        <v>3.5295465196635236</v>
      </c>
      <c r="D76" s="4">
        <v>1.1431211247485682</v>
      </c>
      <c r="E76" s="4"/>
      <c r="F76" s="4"/>
      <c r="G76" s="4"/>
      <c r="H76" s="4"/>
    </row>
    <row r="77" spans="1:8" x14ac:dyDescent="0.25">
      <c r="A77">
        <v>53</v>
      </c>
      <c r="B77" s="4">
        <v>-5.5135329208137067</v>
      </c>
      <c r="C77" s="4">
        <v>-0.48646707918629328</v>
      </c>
      <c r="D77" s="4">
        <v>-0.15755304303670128</v>
      </c>
      <c r="E77" s="4"/>
      <c r="F77" s="4"/>
      <c r="G77" s="4"/>
      <c r="H77" s="4"/>
    </row>
    <row r="78" spans="1:8" x14ac:dyDescent="0.25">
      <c r="A78">
        <v>54</v>
      </c>
      <c r="B78" s="4">
        <v>-5.5188707870969793</v>
      </c>
      <c r="C78" s="4">
        <v>-1.4811292129030207</v>
      </c>
      <c r="D78" s="4">
        <v>-0.47969621092090575</v>
      </c>
      <c r="E78" s="4"/>
      <c r="F78" s="4"/>
      <c r="G78" s="4"/>
      <c r="H78" s="4"/>
    </row>
    <row r="79" spans="1:8" x14ac:dyDescent="0.25">
      <c r="A79">
        <v>55</v>
      </c>
      <c r="B79" s="4">
        <v>-5.504636477008253</v>
      </c>
      <c r="C79" s="4">
        <v>2.504636477008253</v>
      </c>
      <c r="D79" s="4">
        <v>0.81118150752037943</v>
      </c>
      <c r="E79" s="4"/>
      <c r="F79" s="4"/>
      <c r="G79" s="4"/>
      <c r="H79" s="4"/>
    </row>
    <row r="80" spans="1:8" x14ac:dyDescent="0.25">
      <c r="A80">
        <v>56</v>
      </c>
      <c r="B80" s="4">
        <v>-5.5010778994860718</v>
      </c>
      <c r="C80" s="4">
        <v>-1.4989221005139282</v>
      </c>
      <c r="D80" s="4">
        <v>-0.48545882818207292</v>
      </c>
      <c r="E80" s="4"/>
      <c r="F80" s="4"/>
      <c r="G80" s="4"/>
      <c r="H80" s="4"/>
    </row>
    <row r="81" spans="1:8" x14ac:dyDescent="0.25">
      <c r="A81">
        <v>57</v>
      </c>
      <c r="B81" s="4">
        <v>-5.5135329208137067</v>
      </c>
      <c r="C81" s="4">
        <v>-0.48646707918629328</v>
      </c>
      <c r="D81" s="4">
        <v>-0.15755304303670128</v>
      </c>
      <c r="E81" s="4"/>
      <c r="F81" s="4"/>
      <c r="G81" s="4"/>
      <c r="H81" s="4"/>
    </row>
    <row r="82" spans="1:8" x14ac:dyDescent="0.25">
      <c r="A82">
        <v>58</v>
      </c>
      <c r="B82" s="4">
        <v>-5.517981142716434</v>
      </c>
      <c r="C82" s="4">
        <v>-3.482018857283566</v>
      </c>
      <c r="D82" s="4">
        <v>-1.1277282479090736</v>
      </c>
      <c r="E82" s="4"/>
      <c r="F82" s="4"/>
      <c r="G82" s="4"/>
      <c r="H82" s="4"/>
    </row>
    <row r="83" spans="1:8" x14ac:dyDescent="0.25">
      <c r="A83">
        <v>59</v>
      </c>
      <c r="B83" s="4">
        <v>-5.5064157657693436</v>
      </c>
      <c r="C83" s="4">
        <v>0.50641576576934355</v>
      </c>
      <c r="D83" s="4">
        <v>0.16401386312138655</v>
      </c>
      <c r="E83" s="4"/>
      <c r="F83" s="4"/>
      <c r="G83" s="4"/>
      <c r="H83" s="4"/>
    </row>
    <row r="84" spans="1:8" x14ac:dyDescent="0.25">
      <c r="A84">
        <v>60</v>
      </c>
      <c r="B84" s="4">
        <v>-5.4904021669195266</v>
      </c>
      <c r="C84" s="4">
        <v>4.4904021669195266</v>
      </c>
      <c r="D84" s="4">
        <v>1.454315319836555</v>
      </c>
      <c r="E84" s="4"/>
      <c r="F84" s="4"/>
      <c r="G84" s="4"/>
      <c r="H84" s="4"/>
    </row>
    <row r="85" spans="1:8" x14ac:dyDescent="0.25">
      <c r="A85">
        <v>61</v>
      </c>
      <c r="B85" s="4">
        <v>-5.5224293646191605</v>
      </c>
      <c r="C85" s="4">
        <v>0.52242936461916045</v>
      </c>
      <c r="D85" s="4">
        <v>0.16920021865643703</v>
      </c>
      <c r="E85" s="4"/>
      <c r="F85" s="4"/>
      <c r="G85" s="4"/>
      <c r="H85" s="4"/>
    </row>
    <row r="86" spans="1:8" x14ac:dyDescent="0.25">
      <c r="A86">
        <v>62</v>
      </c>
      <c r="B86" s="4">
        <v>-5.5081950545304341</v>
      </c>
      <c r="C86" s="4">
        <v>1.5081950545304341</v>
      </c>
      <c r="D86" s="4">
        <v>0.48846207791005797</v>
      </c>
      <c r="E86" s="4"/>
      <c r="F86" s="4"/>
      <c r="G86" s="4"/>
      <c r="H86" s="4"/>
    </row>
    <row r="87" spans="1:8" x14ac:dyDescent="0.25">
      <c r="A87">
        <v>63</v>
      </c>
      <c r="B87" s="4">
        <v>-5.5099743432915256</v>
      </c>
      <c r="C87" s="4">
        <v>2.5099743432915256</v>
      </c>
      <c r="D87" s="4">
        <v>0.81291029269872961</v>
      </c>
      <c r="E87" s="4"/>
      <c r="F87" s="4"/>
      <c r="G87" s="4"/>
      <c r="H87" s="4"/>
    </row>
    <row r="88" spans="1:8" x14ac:dyDescent="0.25">
      <c r="A88">
        <v>64</v>
      </c>
      <c r="B88" s="4">
        <v>-5.4992986107249804</v>
      </c>
      <c r="C88" s="4">
        <v>3.4992986107249804</v>
      </c>
      <c r="D88" s="4">
        <v>1.1333246754045838</v>
      </c>
      <c r="E88" s="4"/>
      <c r="F88" s="4"/>
      <c r="G88" s="4"/>
      <c r="H88" s="4"/>
    </row>
    <row r="89" spans="1:8" x14ac:dyDescent="0.25">
      <c r="A89">
        <v>65</v>
      </c>
      <c r="B89" s="4">
        <v>-5.5197604314775246</v>
      </c>
      <c r="C89" s="4">
        <v>-1.4802395685224754</v>
      </c>
      <c r="D89" s="4">
        <v>-0.47940808005784746</v>
      </c>
      <c r="E89" s="4"/>
      <c r="F89" s="4"/>
      <c r="G89" s="4"/>
      <c r="H89" s="4"/>
    </row>
    <row r="90" spans="1:8" x14ac:dyDescent="0.25">
      <c r="A90">
        <v>66</v>
      </c>
      <c r="B90" s="4">
        <v>-5.5250982977607972</v>
      </c>
      <c r="C90" s="4">
        <v>2.5250982977607972</v>
      </c>
      <c r="D90" s="4">
        <v>0.8178085173707218</v>
      </c>
      <c r="E90" s="4"/>
      <c r="F90" s="4"/>
      <c r="G90" s="4"/>
      <c r="H90" s="4"/>
    </row>
    <row r="91" spans="1:8" x14ac:dyDescent="0.25">
      <c r="A91">
        <v>67</v>
      </c>
      <c r="B91" s="4">
        <v>-5.5001882551055257</v>
      </c>
      <c r="C91" s="4">
        <v>-3.4998117448944743</v>
      </c>
      <c r="D91" s="4">
        <v>-1.1334908651702411</v>
      </c>
      <c r="E91" s="4"/>
      <c r="F91" s="4"/>
      <c r="G91" s="4"/>
      <c r="H91" s="4"/>
    </row>
    <row r="92" spans="1:8" x14ac:dyDescent="0.25">
      <c r="A92">
        <v>68</v>
      </c>
      <c r="B92" s="4">
        <v>-5.514422565194252</v>
      </c>
      <c r="C92" s="4">
        <v>-4.485577434805748</v>
      </c>
      <c r="D92" s="4">
        <v>-1.4527527244238621</v>
      </c>
      <c r="E92" s="4"/>
      <c r="F92" s="4"/>
      <c r="G92" s="4"/>
      <c r="H92" s="4"/>
    </row>
    <row r="93" spans="1:8" x14ac:dyDescent="0.25">
      <c r="A93">
        <v>69</v>
      </c>
      <c r="B93" s="4">
        <v>-5.4966296775833445</v>
      </c>
      <c r="C93" s="4">
        <v>-2.5033703224166555</v>
      </c>
      <c r="D93" s="4">
        <v>-0.8107714355599196</v>
      </c>
      <c r="E93" s="4"/>
      <c r="F93" s="4"/>
      <c r="G93" s="4"/>
      <c r="H93" s="4"/>
    </row>
    <row r="94" spans="1:8" x14ac:dyDescent="0.25">
      <c r="A94">
        <v>70</v>
      </c>
      <c r="B94" s="4">
        <v>-5.504636477008253</v>
      </c>
      <c r="C94" s="4">
        <v>4.504636477008253</v>
      </c>
      <c r="D94" s="4">
        <v>1.458925413645489</v>
      </c>
      <c r="E94" s="4"/>
      <c r="F94" s="4"/>
      <c r="G94" s="4"/>
      <c r="H94" s="4"/>
    </row>
    <row r="95" spans="1:8" x14ac:dyDescent="0.25">
      <c r="A95">
        <v>71</v>
      </c>
      <c r="B95" s="4">
        <v>-5.4992986107249804</v>
      </c>
      <c r="C95" s="4">
        <v>3.4992986107249804</v>
      </c>
      <c r="D95" s="4">
        <v>1.1333246754045838</v>
      </c>
      <c r="E95" s="4"/>
      <c r="F95" s="4"/>
      <c r="G95" s="4"/>
      <c r="H95" s="4"/>
    </row>
    <row r="96" spans="1:8" x14ac:dyDescent="0.25">
      <c r="A96">
        <v>72</v>
      </c>
      <c r="B96" s="4">
        <v>-5.5081950545304341</v>
      </c>
      <c r="C96" s="4">
        <v>-1.4918049454695659</v>
      </c>
      <c r="D96" s="4">
        <v>-0.48315378127760628</v>
      </c>
      <c r="E96" s="4"/>
      <c r="F96" s="4"/>
      <c r="G96" s="4"/>
      <c r="H96" s="4"/>
    </row>
    <row r="97" spans="1:8" x14ac:dyDescent="0.25">
      <c r="A97">
        <v>73</v>
      </c>
      <c r="B97" s="4">
        <v>-5.5055261213887983</v>
      </c>
      <c r="C97" s="4">
        <v>2.5055261213887983</v>
      </c>
      <c r="D97" s="4">
        <v>0.81146963838343777</v>
      </c>
      <c r="E97" s="4"/>
      <c r="F97" s="4"/>
      <c r="G97" s="4"/>
      <c r="H97" s="4"/>
    </row>
    <row r="98" spans="1:8" x14ac:dyDescent="0.25">
      <c r="A98">
        <v>74</v>
      </c>
      <c r="B98" s="4">
        <v>-5.5099743432915256</v>
      </c>
      <c r="C98" s="4">
        <v>0.50997434329152558</v>
      </c>
      <c r="D98" s="4">
        <v>0.16516638657362015</v>
      </c>
      <c r="E98" s="4"/>
      <c r="F98" s="4"/>
      <c r="G98" s="4"/>
      <c r="H98" s="4"/>
    </row>
    <row r="99" spans="1:8" x14ac:dyDescent="0.25">
      <c r="A99">
        <v>75</v>
      </c>
      <c r="B99" s="4">
        <v>-5.5162018539553435</v>
      </c>
      <c r="C99" s="4">
        <v>1.5162018539553435</v>
      </c>
      <c r="D99" s="4">
        <v>0.49105525567758351</v>
      </c>
      <c r="E99" s="4"/>
      <c r="F99" s="4"/>
      <c r="G99" s="4"/>
      <c r="H99" s="4"/>
    </row>
    <row r="100" spans="1:8" x14ac:dyDescent="0.25">
      <c r="A100">
        <v>76</v>
      </c>
      <c r="B100" s="4">
        <v>-5.5188707870969793</v>
      </c>
      <c r="C100" s="4">
        <v>1.5188707870969793</v>
      </c>
      <c r="D100" s="4">
        <v>0.49191964826675849</v>
      </c>
      <c r="E100" s="4"/>
      <c r="F100" s="4"/>
      <c r="G100" s="4"/>
      <c r="H100" s="4"/>
    </row>
    <row r="101" spans="1:8" x14ac:dyDescent="0.25">
      <c r="A101">
        <v>77</v>
      </c>
      <c r="B101" s="4">
        <v>-5.5268775865218878</v>
      </c>
      <c r="C101" s="4">
        <v>0.52687758652188776</v>
      </c>
      <c r="D101" s="4">
        <v>0.17064087297172897</v>
      </c>
      <c r="E101" s="4"/>
      <c r="F101" s="4"/>
      <c r="G101" s="4"/>
      <c r="H101" s="4"/>
    </row>
    <row r="102" spans="1:8" x14ac:dyDescent="0.25">
      <c r="A102">
        <v>78</v>
      </c>
      <c r="B102" s="4">
        <v>-5.5055261213887983</v>
      </c>
      <c r="C102" s="4">
        <v>-1.4944738786112017</v>
      </c>
      <c r="D102" s="4">
        <v>-0.48401817386678125</v>
      </c>
      <c r="E102" s="4"/>
      <c r="F102" s="4"/>
      <c r="G102" s="4"/>
      <c r="H102" s="4"/>
    </row>
    <row r="103" spans="1:8" x14ac:dyDescent="0.25">
      <c r="A103">
        <v>79</v>
      </c>
      <c r="B103" s="4">
        <v>-5.5215397202386152</v>
      </c>
      <c r="C103" s="4">
        <v>-2.4784602797613848</v>
      </c>
      <c r="D103" s="4">
        <v>-0.8027037713942855</v>
      </c>
      <c r="E103" s="4"/>
      <c r="F103" s="4"/>
      <c r="G103" s="4"/>
      <c r="H103" s="4"/>
    </row>
    <row r="104" spans="1:8" x14ac:dyDescent="0.25">
      <c r="A104">
        <v>80</v>
      </c>
      <c r="B104" s="4">
        <v>-5.5153122095747973</v>
      </c>
      <c r="C104" s="4">
        <v>-4.4846877904252027</v>
      </c>
      <c r="D104" s="4">
        <v>-1.4524645935608036</v>
      </c>
      <c r="E104" s="4"/>
      <c r="F104" s="4"/>
      <c r="G104" s="4"/>
      <c r="H104" s="4"/>
    </row>
    <row r="105" spans="1:8" x14ac:dyDescent="0.25">
      <c r="A105">
        <v>81</v>
      </c>
      <c r="B105" s="4">
        <v>-5.5188707870969793</v>
      </c>
      <c r="C105" s="4">
        <v>0.51887078709697931</v>
      </c>
      <c r="D105" s="4">
        <v>0.16804769520420373</v>
      </c>
      <c r="E105" s="4"/>
      <c r="F105" s="4"/>
      <c r="G105" s="4"/>
      <c r="H105" s="4"/>
    </row>
    <row r="106" spans="1:8" x14ac:dyDescent="0.25">
      <c r="A106">
        <v>82</v>
      </c>
      <c r="B106" s="4">
        <v>-5.5126432764331614</v>
      </c>
      <c r="C106" s="4">
        <v>-0.48735672356683857</v>
      </c>
      <c r="D106" s="4">
        <v>-0.1578411738997596</v>
      </c>
      <c r="E106" s="4"/>
      <c r="F106" s="4"/>
      <c r="G106" s="4"/>
      <c r="H106" s="4"/>
    </row>
    <row r="107" spans="1:8" x14ac:dyDescent="0.25">
      <c r="A107">
        <v>83</v>
      </c>
      <c r="B107" s="4">
        <v>-5.5215397202386152</v>
      </c>
      <c r="C107" s="4">
        <v>0.52153972023861517</v>
      </c>
      <c r="D107" s="4">
        <v>0.16891208779337871</v>
      </c>
      <c r="E107" s="4"/>
      <c r="F107" s="4"/>
      <c r="G107" s="4"/>
      <c r="H107" s="4"/>
    </row>
    <row r="108" spans="1:8" x14ac:dyDescent="0.25">
      <c r="A108">
        <v>84</v>
      </c>
      <c r="B108" s="4">
        <v>-5.504636477008253</v>
      </c>
      <c r="C108" s="4">
        <v>0.50463647700825298</v>
      </c>
      <c r="D108" s="4">
        <v>0.16343760139526989</v>
      </c>
      <c r="E108" s="4"/>
      <c r="F108" s="4"/>
      <c r="G108" s="4"/>
      <c r="H108" s="4"/>
    </row>
    <row r="109" spans="1:8" x14ac:dyDescent="0.25">
      <c r="A109">
        <v>85</v>
      </c>
      <c r="B109" s="4">
        <v>-5.5019675438666171</v>
      </c>
      <c r="C109" s="4">
        <v>1.5019675438666171</v>
      </c>
      <c r="D109" s="4">
        <v>0.48644516186864967</v>
      </c>
      <c r="E109" s="4"/>
      <c r="F109" s="4"/>
      <c r="G109" s="4"/>
      <c r="H109" s="4"/>
    </row>
    <row r="110" spans="1:8" x14ac:dyDescent="0.25">
      <c r="A110">
        <v>86</v>
      </c>
      <c r="B110" s="4">
        <v>-5.5099743432915256</v>
      </c>
      <c r="C110" s="4">
        <v>-2.4900256567084744</v>
      </c>
      <c r="D110" s="4">
        <v>-0.80644947261404409</v>
      </c>
      <c r="E110" s="4"/>
      <c r="F110" s="4"/>
      <c r="G110" s="4"/>
      <c r="H110" s="4"/>
    </row>
    <row r="111" spans="1:8" x14ac:dyDescent="0.25">
      <c r="A111">
        <v>87</v>
      </c>
      <c r="B111" s="4">
        <v>-5.5117536320526161</v>
      </c>
      <c r="C111" s="4">
        <v>-0.48824636794738385</v>
      </c>
      <c r="D111" s="4">
        <v>-0.15812930476281795</v>
      </c>
      <c r="E111" s="4"/>
      <c r="F111" s="4"/>
      <c r="G111" s="4"/>
      <c r="H111" s="4"/>
    </row>
    <row r="112" spans="1:8" x14ac:dyDescent="0.25">
      <c r="A112">
        <v>88</v>
      </c>
      <c r="B112" s="4">
        <v>-5.517981142716434</v>
      </c>
      <c r="C112" s="4">
        <v>-1.482018857283566</v>
      </c>
      <c r="D112" s="4">
        <v>-0.4799843417839641</v>
      </c>
      <c r="E112" s="4"/>
      <c r="F112" s="4"/>
      <c r="G112" s="4"/>
      <c r="H112" s="4"/>
    </row>
    <row r="113" spans="1:8" x14ac:dyDescent="0.25">
      <c r="A113">
        <v>89</v>
      </c>
      <c r="B113" s="4">
        <v>-5.5233190089997057</v>
      </c>
      <c r="C113" s="4">
        <v>4.5233190089997057</v>
      </c>
      <c r="D113" s="4">
        <v>1.4649761617697143</v>
      </c>
      <c r="E113" s="4"/>
      <c r="F113" s="4"/>
      <c r="G113" s="4"/>
      <c r="H113" s="4"/>
    </row>
    <row r="114" spans="1:8" ht="15.75" thickBot="1" x14ac:dyDescent="0.3">
      <c r="A114" s="1">
        <v>90</v>
      </c>
      <c r="B114" s="5">
        <v>-5.5117536320526161</v>
      </c>
      <c r="C114" s="5">
        <v>-4.4882463679473839</v>
      </c>
      <c r="D114" s="5">
        <v>-1.453617117013037</v>
      </c>
      <c r="E114" s="4"/>
      <c r="F114" s="4"/>
      <c r="G114" s="4"/>
      <c r="H114" s="4"/>
    </row>
    <row r="115" spans="1:8" x14ac:dyDescent="0.25">
      <c r="B115" s="4"/>
      <c r="C115" s="4"/>
      <c r="D115" s="4"/>
      <c r="E115" s="4"/>
      <c r="F115" s="4"/>
      <c r="G115" s="4"/>
      <c r="H115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6A5-6ED0-4624-BF89-EEAC63F1C2DF}">
  <dimension ref="A1:I91"/>
  <sheetViews>
    <sheetView zoomScaleNormal="100" workbookViewId="0">
      <selection activeCell="D2" sqref="D2:F2"/>
    </sheetView>
  </sheetViews>
  <sheetFormatPr defaultRowHeight="15" x14ac:dyDescent="0.25"/>
  <cols>
    <col min="2" max="2" width="12" bestFit="1" customWidth="1"/>
    <col min="4" max="4" width="27.28515625" bestFit="1" customWidth="1"/>
    <col min="5" max="5" width="11.5703125" bestFit="1" customWidth="1"/>
    <col min="6" max="6" width="26.7109375" bestFit="1" customWidth="1"/>
    <col min="7" max="7" width="32.7109375" customWidth="1"/>
  </cols>
  <sheetData>
    <row r="1" spans="1:9" x14ac:dyDescent="0.25">
      <c r="A1" t="s">
        <v>0</v>
      </c>
      <c r="B1" t="s">
        <v>59</v>
      </c>
      <c r="C1" t="s">
        <v>2</v>
      </c>
      <c r="D1" t="s">
        <v>61</v>
      </c>
      <c r="E1" t="s">
        <v>29</v>
      </c>
      <c r="F1" t="s">
        <v>37</v>
      </c>
      <c r="G1" s="8" t="s">
        <v>20</v>
      </c>
      <c r="H1" s="8" t="s">
        <v>39</v>
      </c>
    </row>
    <row r="2" spans="1:9" x14ac:dyDescent="0.25">
      <c r="A2" s="13">
        <v>25</v>
      </c>
      <c r="B2" s="4">
        <f>1/A2</f>
        <v>0.04</v>
      </c>
      <c r="C2" s="13">
        <v>-7</v>
      </c>
      <c r="D2" s="4">
        <f>$H$2*Таблица2[[#This Row],[1/X]]+$H$3</f>
        <v>-5.2807436730574651</v>
      </c>
      <c r="E2" s="4">
        <f>ABS(Таблица2[[#This Row],[Предсказанные значения]]-Таблица2[[#This Row],[Z]])</f>
        <v>1.7192563269425349</v>
      </c>
      <c r="F2" s="4">
        <f>ABS(Таблица2[[#This Row],[Остатки]]/Таблица2[[#This Row],[Z]])</f>
        <v>0.24560804670607642</v>
      </c>
      <c r="G2" s="8" t="s">
        <v>55</v>
      </c>
      <c r="H2" s="10">
        <v>23.217173462146814</v>
      </c>
    </row>
    <row r="3" spans="1:9" x14ac:dyDescent="0.25">
      <c r="A3">
        <v>47</v>
      </c>
      <c r="B3" s="4">
        <f t="shared" ref="B3:B66" si="0">1/A3</f>
        <v>2.1276595744680851E-2</v>
      </c>
      <c r="C3">
        <v>-6</v>
      </c>
      <c r="D3" s="4">
        <f>$H$2*Таблица2[[#This Row],[1/X]]+$H$3</f>
        <v>-5.7154481974551077</v>
      </c>
      <c r="E3" s="4">
        <f>ABS(Таблица2[[#This Row],[Предсказанные значения]]-Таблица2[[#This Row],[Z]])</f>
        <v>0.28455180254489232</v>
      </c>
      <c r="F3" s="4">
        <f>ABS(Таблица2[[#This Row],[Остатки]]/Таблица2[[#This Row],[Z]])</f>
        <v>4.742530042414872E-2</v>
      </c>
      <c r="G3" s="8" t="s">
        <v>32</v>
      </c>
      <c r="H3" s="10">
        <v>-6.209430611543338</v>
      </c>
    </row>
    <row r="4" spans="1:9" x14ac:dyDescent="0.25">
      <c r="A4" s="13">
        <v>42</v>
      </c>
      <c r="B4" s="4">
        <f t="shared" si="0"/>
        <v>2.3809523809523808E-2</v>
      </c>
      <c r="C4" s="13">
        <v>-10</v>
      </c>
      <c r="D4" s="4">
        <f>$H$2*Таблица2[[#This Row],[1/X]]+$H$3</f>
        <v>-5.6566407672065093</v>
      </c>
      <c r="E4" s="4">
        <f>ABS(Таблица2[[#This Row],[Предсказанные значения]]-Таблица2[[#This Row],[Z]])</f>
        <v>4.3433592327934907</v>
      </c>
      <c r="F4" s="4">
        <f>ABS(Таблица2[[#This Row],[Остатки]]/Таблица2[[#This Row],[Z]])</f>
        <v>0.43433592327934906</v>
      </c>
      <c r="G4" s="15" t="s">
        <v>36</v>
      </c>
      <c r="H4" s="10">
        <f>SUM(Таблица2[Нормированные остатки])/COUNT(Таблица2[X])</f>
        <v>0.92736339973980975</v>
      </c>
      <c r="I4" t="s">
        <v>66</v>
      </c>
    </row>
    <row r="5" spans="1:9" x14ac:dyDescent="0.25">
      <c r="A5">
        <v>38</v>
      </c>
      <c r="B5" s="4">
        <f t="shared" si="0"/>
        <v>2.6315789473684209E-2</v>
      </c>
      <c r="C5">
        <v>-1</v>
      </c>
      <c r="D5" s="4">
        <f>$H$2*Таблица2[[#This Row],[1/X]]+$H$3</f>
        <v>-5.5984523625394749</v>
      </c>
      <c r="E5" s="4">
        <f>ABS(Таблица2[[#This Row],[Предсказанные значения]]-Таблица2[[#This Row],[Z]])</f>
        <v>4.5984523625394749</v>
      </c>
      <c r="F5" s="4">
        <f>ABS(Таблица2[[#This Row],[Остатки]]/Таблица2[[#This Row],[Z]])</f>
        <v>4.5984523625394749</v>
      </c>
    </row>
    <row r="6" spans="1:9" x14ac:dyDescent="0.25">
      <c r="A6" s="13">
        <v>30</v>
      </c>
      <c r="B6" s="4">
        <f t="shared" si="0"/>
        <v>3.3333333333333333E-2</v>
      </c>
      <c r="C6" s="13">
        <v>-2</v>
      </c>
      <c r="D6" s="4">
        <f>$H$2*Таблица2[[#This Row],[1/X]]+$H$3</f>
        <v>-5.4355248294717775</v>
      </c>
      <c r="E6" s="4">
        <f>ABS(Таблица2[[#This Row],[Предсказанные значения]]-Таблица2[[#This Row],[Z]])</f>
        <v>3.4355248294717775</v>
      </c>
      <c r="F6" s="4">
        <f>ABS(Таблица2[[#This Row],[Остатки]]/Таблица2[[#This Row],[Z]])</f>
        <v>1.7177624147358888</v>
      </c>
    </row>
    <row r="7" spans="1:9" x14ac:dyDescent="0.25">
      <c r="A7">
        <v>30</v>
      </c>
      <c r="B7" s="4">
        <f t="shared" si="0"/>
        <v>3.3333333333333333E-2</v>
      </c>
      <c r="C7">
        <v>-6</v>
      </c>
      <c r="D7" s="4">
        <f>$H$2*Таблица2[[#This Row],[1/X]]+$H$3</f>
        <v>-5.4355248294717775</v>
      </c>
      <c r="E7" s="4">
        <f>ABS(Таблица2[[#This Row],[Предсказанные значения]]-Таблица2[[#This Row],[Z]])</f>
        <v>0.56447517052822249</v>
      </c>
      <c r="F7" s="4">
        <f>ABS(Таблица2[[#This Row],[Остатки]]/Таблица2[[#This Row],[Z]])</f>
        <v>9.4079195088037082E-2</v>
      </c>
    </row>
    <row r="8" spans="1:9" x14ac:dyDescent="0.25">
      <c r="A8" s="13">
        <v>32</v>
      </c>
      <c r="B8" s="4">
        <f t="shared" si="0"/>
        <v>3.125E-2</v>
      </c>
      <c r="C8" s="13">
        <v>-6</v>
      </c>
      <c r="D8" s="4">
        <f>$H$2*Таблица2[[#This Row],[1/X]]+$H$3</f>
        <v>-5.4838939408512504</v>
      </c>
      <c r="E8" s="4">
        <f>ABS(Таблица2[[#This Row],[Предсказанные значения]]-Таблица2[[#This Row],[Z]])</f>
        <v>0.51610605914874963</v>
      </c>
      <c r="F8" s="4">
        <f>ABS(Таблица2[[#This Row],[Остатки]]/Таблица2[[#This Row],[Z]])</f>
        <v>8.60176765247916E-2</v>
      </c>
    </row>
    <row r="9" spans="1:9" x14ac:dyDescent="0.25">
      <c r="A9">
        <v>38</v>
      </c>
      <c r="B9" s="4">
        <f t="shared" si="0"/>
        <v>2.6315789473684209E-2</v>
      </c>
      <c r="C9">
        <v>-5</v>
      </c>
      <c r="D9" s="4">
        <f>$H$2*Таблица2[[#This Row],[1/X]]+$H$3</f>
        <v>-5.5984523625394749</v>
      </c>
      <c r="E9" s="4">
        <f>ABS(Таблица2[[#This Row],[Предсказанные значения]]-Таблица2[[#This Row],[Z]])</f>
        <v>0.59845236253947487</v>
      </c>
      <c r="F9" s="4">
        <f>ABS(Таблица2[[#This Row],[Остатки]]/Таблица2[[#This Row],[Z]])</f>
        <v>0.11969047250789497</v>
      </c>
    </row>
    <row r="10" spans="1:9" x14ac:dyDescent="0.25">
      <c r="A10" s="13">
        <v>34</v>
      </c>
      <c r="B10" s="4">
        <f t="shared" si="0"/>
        <v>2.9411764705882353E-2</v>
      </c>
      <c r="C10" s="13">
        <v>-10</v>
      </c>
      <c r="D10" s="4">
        <f>$H$2*Таблица2[[#This Row],[1/X]]+$H$3</f>
        <v>-5.5265725685390201</v>
      </c>
      <c r="E10" s="4">
        <f>ABS(Таблица2[[#This Row],[Предсказанные значения]]-Таблица2[[#This Row],[Z]])</f>
        <v>4.4734274314609799</v>
      </c>
      <c r="F10" s="4">
        <f>ABS(Таблица2[[#This Row],[Остатки]]/Таблица2[[#This Row],[Z]])</f>
        <v>0.44734274314609801</v>
      </c>
    </row>
    <row r="11" spans="1:9" x14ac:dyDescent="0.25">
      <c r="A11">
        <v>34</v>
      </c>
      <c r="B11" s="4">
        <f t="shared" si="0"/>
        <v>2.9411764705882353E-2</v>
      </c>
      <c r="C11">
        <v>-4</v>
      </c>
      <c r="D11" s="4">
        <f>$H$2*Таблица2[[#This Row],[1/X]]+$H$3</f>
        <v>-5.5265725685390201</v>
      </c>
      <c r="E11" s="4">
        <f>ABS(Таблица2[[#This Row],[Предсказанные значения]]-Таблица2[[#This Row],[Z]])</f>
        <v>1.5265725685390201</v>
      </c>
      <c r="F11" s="4">
        <f>ABS(Таблица2[[#This Row],[Остатки]]/Таблица2[[#This Row],[Z]])</f>
        <v>0.38164314213475503</v>
      </c>
    </row>
    <row r="12" spans="1:9" x14ac:dyDescent="0.25">
      <c r="A12" s="13">
        <v>41</v>
      </c>
      <c r="B12" s="4">
        <f t="shared" si="0"/>
        <v>2.4390243902439025E-2</v>
      </c>
      <c r="C12" s="13">
        <v>-9</v>
      </c>
      <c r="D12" s="4">
        <f>$H$2*Таблица2[[#This Row],[1/X]]+$H$3</f>
        <v>-5.6431580880763423</v>
      </c>
      <c r="E12" s="4">
        <f>ABS(Таблица2[[#This Row],[Предсказанные значения]]-Таблица2[[#This Row],[Z]])</f>
        <v>3.3568419119236577</v>
      </c>
      <c r="F12" s="4">
        <f>ABS(Таблица2[[#This Row],[Остатки]]/Таблица2[[#This Row],[Z]])</f>
        <v>0.3729824346581842</v>
      </c>
    </row>
    <row r="13" spans="1:9" x14ac:dyDescent="0.25">
      <c r="A13">
        <v>37</v>
      </c>
      <c r="B13" s="4">
        <f t="shared" si="0"/>
        <v>2.7027027027027029E-2</v>
      </c>
      <c r="C13">
        <v>-5</v>
      </c>
      <c r="D13" s="4">
        <f>$H$2*Таблица2[[#This Row],[1/X]]+$H$3</f>
        <v>-5.5819394368907211</v>
      </c>
      <c r="E13" s="4">
        <f>ABS(Таблица2[[#This Row],[Предсказанные значения]]-Таблица2[[#This Row],[Z]])</f>
        <v>0.58193943689072114</v>
      </c>
      <c r="F13" s="4">
        <f>ABS(Таблица2[[#This Row],[Остатки]]/Таблица2[[#This Row],[Z]])</f>
        <v>0.11638788737814423</v>
      </c>
    </row>
    <row r="14" spans="1:9" x14ac:dyDescent="0.25">
      <c r="A14" s="13">
        <v>39</v>
      </c>
      <c r="B14" s="4">
        <f t="shared" si="0"/>
        <v>2.564102564102564E-2</v>
      </c>
      <c r="C14" s="13">
        <v>-7</v>
      </c>
      <c r="D14" s="4">
        <f>$H$2*Таблица2[[#This Row],[1/X]]+$H$3</f>
        <v>-5.6141184714882915</v>
      </c>
      <c r="E14" s="4">
        <f>ABS(Таблица2[[#This Row],[Предсказанные значения]]-Таблица2[[#This Row],[Z]])</f>
        <v>1.3858815285117085</v>
      </c>
      <c r="F14" s="4">
        <f>ABS(Таблица2[[#This Row],[Остатки]]/Таблица2[[#This Row],[Z]])</f>
        <v>0.19798307550167266</v>
      </c>
    </row>
    <row r="15" spans="1:9" x14ac:dyDescent="0.25">
      <c r="A15">
        <v>36</v>
      </c>
      <c r="B15" s="4">
        <f t="shared" si="0"/>
        <v>2.7777777777777776E-2</v>
      </c>
      <c r="C15">
        <v>-3</v>
      </c>
      <c r="D15" s="4">
        <f>$H$2*Таблица2[[#This Row],[1/X]]+$H$3</f>
        <v>-5.5645091264837045</v>
      </c>
      <c r="E15" s="4">
        <f>ABS(Таблица2[[#This Row],[Предсказанные значения]]-Таблица2[[#This Row],[Z]])</f>
        <v>2.5645091264837045</v>
      </c>
      <c r="F15" s="4">
        <f>ABS(Таблица2[[#This Row],[Остатки]]/Таблица2[[#This Row],[Z]])</f>
        <v>0.85483637549456815</v>
      </c>
    </row>
    <row r="16" spans="1:9" x14ac:dyDescent="0.25">
      <c r="A16" s="13">
        <v>34</v>
      </c>
      <c r="B16" s="4">
        <f t="shared" si="0"/>
        <v>2.9411764705882353E-2</v>
      </c>
      <c r="C16" s="13">
        <v>-10</v>
      </c>
      <c r="D16" s="4">
        <f>$H$2*Таблица2[[#This Row],[1/X]]+$H$3</f>
        <v>-5.5265725685390201</v>
      </c>
      <c r="E16" s="4">
        <f>ABS(Таблица2[[#This Row],[Предсказанные значения]]-Таблица2[[#This Row],[Z]])</f>
        <v>4.4734274314609799</v>
      </c>
      <c r="F16" s="4">
        <f>ABS(Таблица2[[#This Row],[Остатки]]/Таблица2[[#This Row],[Z]])</f>
        <v>0.44734274314609801</v>
      </c>
    </row>
    <row r="17" spans="1:8" x14ac:dyDescent="0.25">
      <c r="A17">
        <v>29</v>
      </c>
      <c r="B17" s="4">
        <f t="shared" si="0"/>
        <v>3.4482758620689655E-2</v>
      </c>
      <c r="C17">
        <v>-1</v>
      </c>
      <c r="D17" s="4">
        <f>$H$2*Таблица2[[#This Row],[1/X]]+$H$3</f>
        <v>-5.4088384231934477</v>
      </c>
      <c r="E17" s="4">
        <f>ABS(Таблица2[[#This Row],[Предсказанные значения]]-Таблица2[[#This Row],[Z]])</f>
        <v>4.4088384231934477</v>
      </c>
      <c r="F17" s="4">
        <f>ABS(Таблица2[[#This Row],[Остатки]]/Таблица2[[#This Row],[Z]])</f>
        <v>4.4088384231934477</v>
      </c>
    </row>
    <row r="18" spans="1:8" x14ac:dyDescent="0.25">
      <c r="A18" s="13">
        <v>31</v>
      </c>
      <c r="B18" s="4">
        <f t="shared" si="0"/>
        <v>3.2258064516129031E-2</v>
      </c>
      <c r="C18" s="13">
        <v>-3</v>
      </c>
      <c r="D18" s="4">
        <f>$H$2*Таблица2[[#This Row],[1/X]]+$H$3</f>
        <v>-5.4604895321192473</v>
      </c>
      <c r="E18" s="4">
        <f>ABS(Таблица2[[#This Row],[Предсказанные значения]]-Таблица2[[#This Row],[Z]])</f>
        <v>2.4604895321192473</v>
      </c>
      <c r="F18" s="4">
        <f>ABS(Таблица2[[#This Row],[Остатки]]/Таблица2[[#This Row],[Z]])</f>
        <v>0.82016317737308242</v>
      </c>
    </row>
    <row r="19" spans="1:8" x14ac:dyDescent="0.25">
      <c r="A19">
        <v>41</v>
      </c>
      <c r="B19" s="4">
        <f t="shared" si="0"/>
        <v>2.4390243902439025E-2</v>
      </c>
      <c r="C19">
        <v>-5</v>
      </c>
      <c r="D19" s="4">
        <f>$H$2*Таблица2[[#This Row],[1/X]]+$H$3</f>
        <v>-5.6431580880763423</v>
      </c>
      <c r="E19" s="4">
        <f>ABS(Таблица2[[#This Row],[Предсказанные значения]]-Таблица2[[#This Row],[Z]])</f>
        <v>0.64315808807634234</v>
      </c>
      <c r="F19" s="4">
        <f>ABS(Таблица2[[#This Row],[Остатки]]/Таблица2[[#This Row],[Z]])</f>
        <v>0.12863161761526848</v>
      </c>
    </row>
    <row r="20" spans="1:8" x14ac:dyDescent="0.25">
      <c r="A20" s="13">
        <v>15</v>
      </c>
      <c r="B20" s="4">
        <f t="shared" si="0"/>
        <v>6.6666666666666666E-2</v>
      </c>
      <c r="C20" s="13">
        <v>-5</v>
      </c>
      <c r="D20" s="4">
        <f>$H$2*Таблица2[[#This Row],[1/X]]+$H$3</f>
        <v>-4.661619047400217</v>
      </c>
      <c r="E20" s="4">
        <f>ABS(Таблица2[[#This Row],[Предсказанные значения]]-Таблица2[[#This Row],[Z]])</f>
        <v>0.33838095259978296</v>
      </c>
      <c r="F20" s="4">
        <f>ABS(Таблица2[[#This Row],[Остатки]]/Таблица2[[#This Row],[Z]])</f>
        <v>6.7676190519956589E-2</v>
      </c>
    </row>
    <row r="21" spans="1:8" x14ac:dyDescent="0.25">
      <c r="A21">
        <v>27</v>
      </c>
      <c r="B21" s="4">
        <f t="shared" si="0"/>
        <v>3.7037037037037035E-2</v>
      </c>
      <c r="C21">
        <v>-1</v>
      </c>
      <c r="D21" s="4">
        <f>$H$2*Таблица2[[#This Row],[1/X]]+$H$3</f>
        <v>-5.3495352981304931</v>
      </c>
      <c r="E21" s="4">
        <f>ABS(Таблица2[[#This Row],[Предсказанные значения]]-Таблица2[[#This Row],[Z]])</f>
        <v>4.3495352981304931</v>
      </c>
      <c r="F21" s="4">
        <f>ABS(Таблица2[[#This Row],[Остатки]]/Таблица2[[#This Row],[Z]])</f>
        <v>4.3495352981304931</v>
      </c>
    </row>
    <row r="22" spans="1:8" x14ac:dyDescent="0.25">
      <c r="A22" s="13">
        <v>46</v>
      </c>
      <c r="B22" s="4">
        <f t="shared" si="0"/>
        <v>2.1739130434782608E-2</v>
      </c>
      <c r="C22" s="13">
        <v>1</v>
      </c>
      <c r="D22" s="4">
        <f>$H$2*Таблица2[[#This Row],[1/X]]+$H$3</f>
        <v>-5.7047094493227553</v>
      </c>
      <c r="E22" s="4">
        <f>ABS(Таблица2[[#This Row],[Предсказанные значения]]-Таблица2[[#This Row],[Z]])</f>
        <v>6.7047094493227553</v>
      </c>
      <c r="F22" s="4">
        <f>ABS(Таблица2[[#This Row],[Остатки]]/Таблица2[[#This Row],[Z]])</f>
        <v>6.7047094493227553</v>
      </c>
    </row>
    <row r="23" spans="1:8" x14ac:dyDescent="0.25">
      <c r="A23">
        <v>34</v>
      </c>
      <c r="B23" s="4">
        <f t="shared" si="0"/>
        <v>2.9411764705882353E-2</v>
      </c>
      <c r="C23">
        <v>-10</v>
      </c>
      <c r="D23" s="4">
        <f>$H$2*Таблица2[[#This Row],[1/X]]+$H$3</f>
        <v>-5.5265725685390201</v>
      </c>
      <c r="E23" s="4">
        <f>ABS(Таблица2[[#This Row],[Предсказанные значения]]-Таблица2[[#This Row],[Z]])</f>
        <v>4.4734274314609799</v>
      </c>
      <c r="F23" s="4">
        <f>ABS(Таблица2[[#This Row],[Остатки]]/Таблица2[[#This Row],[Z]])</f>
        <v>0.44734274314609801</v>
      </c>
    </row>
    <row r="24" spans="1:8" x14ac:dyDescent="0.25">
      <c r="A24" s="13">
        <v>39</v>
      </c>
      <c r="B24" s="4">
        <f t="shared" si="0"/>
        <v>2.564102564102564E-2</v>
      </c>
      <c r="C24" s="13">
        <v>-3</v>
      </c>
      <c r="D24" s="4">
        <f>$H$2*Таблица2[[#This Row],[1/X]]+$H$3</f>
        <v>-5.6141184714882915</v>
      </c>
      <c r="E24" s="4">
        <f>ABS(Таблица2[[#This Row],[Предсказанные значения]]-Таблица2[[#This Row],[Z]])</f>
        <v>2.6141184714882915</v>
      </c>
      <c r="F24" s="4">
        <f>ABS(Таблица2[[#This Row],[Остатки]]/Таблица2[[#This Row],[Z]])</f>
        <v>0.87137282382943049</v>
      </c>
    </row>
    <row r="25" spans="1:8" x14ac:dyDescent="0.25">
      <c r="A25">
        <v>49</v>
      </c>
      <c r="B25" s="4">
        <f t="shared" si="0"/>
        <v>2.0408163265306121E-2</v>
      </c>
      <c r="C25">
        <v>-9</v>
      </c>
      <c r="D25" s="4">
        <f>$H$2*Таблица2[[#This Row],[1/X]]+$H$3</f>
        <v>-5.7356107449689135</v>
      </c>
      <c r="E25" s="4">
        <f>ABS(Таблица2[[#This Row],[Предсказанные значения]]-Таблица2[[#This Row],[Z]])</f>
        <v>3.2643892550310865</v>
      </c>
      <c r="F25" s="4">
        <f>ABS(Таблица2[[#This Row],[Остатки]]/Таблица2[[#This Row],[Z]])</f>
        <v>0.36270991722567625</v>
      </c>
    </row>
    <row r="26" spans="1:8" x14ac:dyDescent="0.25">
      <c r="A26" s="13">
        <v>22</v>
      </c>
      <c r="B26" s="4">
        <f t="shared" si="0"/>
        <v>4.5454545454545456E-2</v>
      </c>
      <c r="C26" s="13">
        <v>-6</v>
      </c>
      <c r="D26" s="4">
        <f>$H$2*Таблица2[[#This Row],[1/X]]+$H$3</f>
        <v>-5.1541045450821192</v>
      </c>
      <c r="E26" s="4">
        <f>ABS(Таблица2[[#This Row],[Предсказанные значения]]-Таблица2[[#This Row],[Z]])</f>
        <v>0.84589545491788076</v>
      </c>
      <c r="F26" s="4">
        <f>ABS(Таблица2[[#This Row],[Остатки]]/Таблица2[[#This Row],[Z]])</f>
        <v>0.14098257581964679</v>
      </c>
      <c r="G26" s="8" t="s">
        <v>47</v>
      </c>
      <c r="H26" s="10">
        <f>_xlfn.COVARIANCE.S(Таблица2[1/X], Таблица2[Z])/SQRT(_xlfn.VAR.S(Таблица2[1/X])*_xlfn.VAR.S(Таблица2[Z]))</f>
        <v>6.9037100159634907E-2</v>
      </c>
    </row>
    <row r="27" spans="1:8" x14ac:dyDescent="0.25">
      <c r="A27">
        <v>48</v>
      </c>
      <c r="B27" s="4">
        <f t="shared" si="0"/>
        <v>2.0833333333333332E-2</v>
      </c>
      <c r="C27">
        <v>-2</v>
      </c>
      <c r="D27" s="4">
        <f>$H$2*Таблица2[[#This Row],[1/X]]+$H$3</f>
        <v>-5.7257394977486129</v>
      </c>
      <c r="E27" s="4">
        <f>ABS(Таблица2[[#This Row],[Предсказанные значения]]-Таблица2[[#This Row],[Z]])</f>
        <v>3.7257394977486129</v>
      </c>
      <c r="F27" s="4">
        <f>ABS(Таблица2[[#This Row],[Остатки]]/Таблица2[[#This Row],[Z]])</f>
        <v>1.8628697488743065</v>
      </c>
      <c r="G27" s="8" t="s">
        <v>48</v>
      </c>
      <c r="H27" s="16">
        <f>1-SUMSQ(Таблица2[Остатки])/DEVSQ(Таблица2[Z])</f>
        <v>4.766121198451545E-3</v>
      </c>
    </row>
    <row r="28" spans="1:8" x14ac:dyDescent="0.25">
      <c r="A28" s="13">
        <v>30</v>
      </c>
      <c r="B28" s="4">
        <f t="shared" si="0"/>
        <v>3.3333333333333333E-2</v>
      </c>
      <c r="C28" s="13">
        <v>-2</v>
      </c>
      <c r="D28" s="4">
        <f>$H$2*Таблица2[[#This Row],[1/X]]+$H$3</f>
        <v>-5.4355248294717775</v>
      </c>
      <c r="E28" s="4">
        <f>ABS(Таблица2[[#This Row],[Предсказанные значения]]-Таблица2[[#This Row],[Z]])</f>
        <v>3.4355248294717775</v>
      </c>
      <c r="F28" s="4">
        <f>ABS(Таблица2[[#This Row],[Остатки]]/Таблица2[[#This Row],[Z]])</f>
        <v>1.7177624147358888</v>
      </c>
      <c r="G28" t="s">
        <v>62</v>
      </c>
    </row>
    <row r="29" spans="1:8" x14ac:dyDescent="0.25">
      <c r="A29">
        <v>29</v>
      </c>
      <c r="B29" s="4">
        <f t="shared" si="0"/>
        <v>3.4482758620689655E-2</v>
      </c>
      <c r="C29">
        <v>-8</v>
      </c>
      <c r="D29" s="4">
        <f>$H$2*Таблица2[[#This Row],[1/X]]+$H$3</f>
        <v>-5.4088384231934477</v>
      </c>
      <c r="E29" s="4">
        <f>ABS(Таблица2[[#This Row],[Предсказанные значения]]-Таблица2[[#This Row],[Z]])</f>
        <v>2.5911615768065523</v>
      </c>
      <c r="F29" s="4">
        <f>ABS(Таблица2[[#This Row],[Остатки]]/Таблица2[[#This Row],[Z]])</f>
        <v>0.32389519710081904</v>
      </c>
    </row>
    <row r="30" spans="1:8" x14ac:dyDescent="0.25">
      <c r="A30" s="13">
        <v>29</v>
      </c>
      <c r="B30" s="4">
        <f t="shared" si="0"/>
        <v>3.4482758620689655E-2</v>
      </c>
      <c r="C30" s="13">
        <v>-9</v>
      </c>
      <c r="D30" s="4">
        <f>$H$2*Таблица2[[#This Row],[1/X]]+$H$3</f>
        <v>-5.4088384231934477</v>
      </c>
      <c r="E30" s="4">
        <f>ABS(Таблица2[[#This Row],[Предсказанные значения]]-Таблица2[[#This Row],[Z]])</f>
        <v>3.5911615768065523</v>
      </c>
      <c r="F30" s="4">
        <f>ABS(Таблица2[[#This Row],[Остатки]]/Таблица2[[#This Row],[Z]])</f>
        <v>0.39901795297850584</v>
      </c>
      <c r="G30" s="8" t="s">
        <v>50</v>
      </c>
      <c r="H30" s="8" t="s">
        <v>39</v>
      </c>
    </row>
    <row r="31" spans="1:8" x14ac:dyDescent="0.25">
      <c r="A31">
        <v>38</v>
      </c>
      <c r="B31" s="4">
        <f t="shared" si="0"/>
        <v>2.6315789473684209E-2</v>
      </c>
      <c r="C31">
        <v>-2</v>
      </c>
      <c r="D31" s="4">
        <f>$H$2*Таблица2[[#This Row],[1/X]]+$H$3</f>
        <v>-5.5984523625394749</v>
      </c>
      <c r="E31" s="4">
        <f>ABS(Таблица2[[#This Row],[Предсказанные значения]]-Таблица2[[#This Row],[Z]])</f>
        <v>3.5984523625394749</v>
      </c>
      <c r="F31" s="4">
        <f>ABS(Таблица2[[#This Row],[Остатки]]/Таблица2[[#This Row],[Z]])</f>
        <v>1.7992261812697374</v>
      </c>
      <c r="G31" s="8" t="s">
        <v>52</v>
      </c>
      <c r="H31" s="10">
        <f>help_hyperbolic_xz!E12</f>
        <v>0.42142723875997512</v>
      </c>
    </row>
    <row r="32" spans="1:8" x14ac:dyDescent="0.25">
      <c r="A32" s="13">
        <v>37</v>
      </c>
      <c r="B32" s="4">
        <f t="shared" si="0"/>
        <v>2.7027027027027029E-2</v>
      </c>
      <c r="C32" s="13">
        <v>-8</v>
      </c>
      <c r="D32" s="4">
        <f>$H$2*Таблица2[[#This Row],[1/X]]+$H$3</f>
        <v>-5.5819394368907211</v>
      </c>
      <c r="E32" s="4">
        <f>ABS(Таблица2[[#This Row],[Предсказанные значения]]-Таблица2[[#This Row],[Z]])</f>
        <v>2.4180605631092789</v>
      </c>
      <c r="F32" s="4">
        <f>ABS(Таблица2[[#This Row],[Остатки]]/Таблица2[[#This Row],[Z]])</f>
        <v>0.30225757038865986</v>
      </c>
      <c r="G32" s="8" t="s">
        <v>51</v>
      </c>
      <c r="H32" s="10">
        <f>FINV(0.05,help_hyperbolic_xz!B12,help_hyperbolic_xz!B13)</f>
        <v>3.9493210068606932</v>
      </c>
    </row>
    <row r="33" spans="1:8" x14ac:dyDescent="0.25">
      <c r="A33">
        <v>55</v>
      </c>
      <c r="B33" s="4">
        <f t="shared" si="0"/>
        <v>1.8181818181818181E-2</v>
      </c>
      <c r="C33">
        <v>-9</v>
      </c>
      <c r="D33" s="4">
        <f>$H$2*Таблица2[[#This Row],[1/X]]+$H$3</f>
        <v>-5.7873001849588501</v>
      </c>
      <c r="E33" s="4">
        <f>ABS(Таблица2[[#This Row],[Предсказанные значения]]-Таблица2[[#This Row],[Z]])</f>
        <v>3.2126998150411499</v>
      </c>
      <c r="F33" s="4">
        <f>ABS(Таблица2[[#This Row],[Остатки]]/Таблица2[[#This Row],[Z]])</f>
        <v>0.35696664611568329</v>
      </c>
      <c r="G33" t="s">
        <v>63</v>
      </c>
    </row>
    <row r="34" spans="1:8" x14ac:dyDescent="0.25">
      <c r="A34" s="13">
        <v>38</v>
      </c>
      <c r="B34" s="4">
        <f t="shared" si="0"/>
        <v>2.6315789473684209E-2</v>
      </c>
      <c r="C34" s="13">
        <v>-7</v>
      </c>
      <c r="D34" s="4">
        <f>$H$2*Таблица2[[#This Row],[1/X]]+$H$3</f>
        <v>-5.5984523625394749</v>
      </c>
      <c r="E34" s="4">
        <f>ABS(Таблица2[[#This Row],[Предсказанные значения]]-Таблица2[[#This Row],[Z]])</f>
        <v>1.4015476374605251</v>
      </c>
      <c r="F34" s="4">
        <f>ABS(Таблица2[[#This Row],[Остатки]]/Таблица2[[#This Row],[Z]])</f>
        <v>0.20022109106578931</v>
      </c>
    </row>
    <row r="35" spans="1:8" x14ac:dyDescent="0.25">
      <c r="A35">
        <v>27</v>
      </c>
      <c r="B35" s="4">
        <f t="shared" si="0"/>
        <v>3.7037037037037035E-2</v>
      </c>
      <c r="C35">
        <v>-2</v>
      </c>
      <c r="D35" s="4">
        <f>$H$2*Таблица2[[#This Row],[1/X]]+$H$3</f>
        <v>-5.3495352981304931</v>
      </c>
      <c r="E35" s="4">
        <f>ABS(Таблица2[[#This Row],[Предсказанные значения]]-Таблица2[[#This Row],[Z]])</f>
        <v>3.3495352981304931</v>
      </c>
      <c r="F35" s="4">
        <f>ABS(Таблица2[[#This Row],[Остатки]]/Таблица2[[#This Row],[Z]])</f>
        <v>1.6747676490652466</v>
      </c>
      <c r="G35" s="8" t="s">
        <v>54</v>
      </c>
      <c r="H35" s="8" t="s">
        <v>39</v>
      </c>
    </row>
    <row r="36" spans="1:8" x14ac:dyDescent="0.25">
      <c r="A36" s="13">
        <v>44</v>
      </c>
      <c r="B36" s="4">
        <f t="shared" si="0"/>
        <v>2.2727272727272728E-2</v>
      </c>
      <c r="C36" s="13">
        <v>-5</v>
      </c>
      <c r="D36" s="4">
        <f>$H$2*Таблица2[[#This Row],[1/X]]+$H$3</f>
        <v>-5.6817675783127282</v>
      </c>
      <c r="E36" s="4">
        <f>ABS(Таблица2[[#This Row],[Предсказанные значения]]-Таблица2[[#This Row],[Z]])</f>
        <v>0.68176757831272816</v>
      </c>
      <c r="F36" s="4">
        <f>ABS(Таблица2[[#This Row],[Остатки]]/Таблица2[[#This Row],[Z]])</f>
        <v>0.13635351566254564</v>
      </c>
      <c r="G36" s="8" t="s">
        <v>21</v>
      </c>
      <c r="H36" s="10">
        <f>help_hyperbolic_xz!D18</f>
        <v>0.64917427456730747</v>
      </c>
    </row>
    <row r="37" spans="1:8" x14ac:dyDescent="0.25">
      <c r="A37">
        <v>48</v>
      </c>
      <c r="B37" s="4">
        <f t="shared" si="0"/>
        <v>2.0833333333333332E-2</v>
      </c>
      <c r="C37">
        <v>-3</v>
      </c>
      <c r="D37" s="4">
        <f>$H$2*Таблица2[[#This Row],[1/X]]+$H$3</f>
        <v>-5.7257394977486129</v>
      </c>
      <c r="E37" s="4">
        <f>ABS(Таблица2[[#This Row],[Предсказанные значения]]-Таблица2[[#This Row],[Z]])</f>
        <v>2.7257394977486129</v>
      </c>
      <c r="F37" s="4">
        <f>ABS(Таблица2[[#This Row],[Остатки]]/Таблица2[[#This Row],[Z]])</f>
        <v>0.90857983258287101</v>
      </c>
      <c r="G37" s="8" t="s">
        <v>53</v>
      </c>
      <c r="H37" s="10" cm="1">
        <f t="array" ref="H37">_xlfn.T.INV(0.95,COUNT(Таблица2[1/X]-2))</f>
        <v>1.661961084030164</v>
      </c>
    </row>
    <row r="38" spans="1:8" x14ac:dyDescent="0.25">
      <c r="A38" s="13">
        <v>35</v>
      </c>
      <c r="B38" s="4">
        <f t="shared" si="0"/>
        <v>2.8571428571428571E-2</v>
      </c>
      <c r="C38" s="13">
        <v>-6</v>
      </c>
      <c r="D38" s="4">
        <f>$H$2*Таблица2[[#This Row],[1/X]]+$H$3</f>
        <v>-5.5460827983391434</v>
      </c>
      <c r="E38" s="4">
        <f>ABS(Таблица2[[#This Row],[Предсказанные значения]]-Таблица2[[#This Row],[Z]])</f>
        <v>0.45391720166085658</v>
      </c>
      <c r="F38" s="4">
        <f>ABS(Таблица2[[#This Row],[Остатки]]/Таблица2[[#This Row],[Z]])</f>
        <v>7.5652866943476102E-2</v>
      </c>
      <c r="G38" t="s">
        <v>64</v>
      </c>
    </row>
    <row r="39" spans="1:8" x14ac:dyDescent="0.25">
      <c r="A39">
        <v>35</v>
      </c>
      <c r="B39" s="4">
        <f t="shared" si="0"/>
        <v>2.8571428571428571E-2</v>
      </c>
      <c r="C39">
        <v>-10</v>
      </c>
      <c r="D39" s="4">
        <f>$H$2*Таблица2[[#This Row],[1/X]]+$H$3</f>
        <v>-5.5460827983391434</v>
      </c>
      <c r="E39" s="4">
        <f>ABS(Таблица2[[#This Row],[Предсказанные значения]]-Таблица2[[#This Row],[Z]])</f>
        <v>4.4539172016608566</v>
      </c>
      <c r="F39" s="4">
        <f>ABS(Таблица2[[#This Row],[Остатки]]/Таблица2[[#This Row],[Z]])</f>
        <v>0.44539172016608564</v>
      </c>
    </row>
    <row r="40" spans="1:8" x14ac:dyDescent="0.25">
      <c r="A40" s="13">
        <v>28</v>
      </c>
      <c r="B40" s="4">
        <f t="shared" si="0"/>
        <v>3.5714285714285712E-2</v>
      </c>
      <c r="C40" s="13">
        <v>-4</v>
      </c>
      <c r="D40" s="4">
        <f>$H$2*Таблица2[[#This Row],[1/X]]+$H$3</f>
        <v>-5.380245845038095</v>
      </c>
      <c r="E40" s="4">
        <f>ABS(Таблица2[[#This Row],[Предсказанные значения]]-Таблица2[[#This Row],[Z]])</f>
        <v>1.380245845038095</v>
      </c>
      <c r="F40" s="4">
        <f>ABS(Таблица2[[#This Row],[Остатки]]/Таблица2[[#This Row],[Z]])</f>
        <v>0.34506146125952375</v>
      </c>
    </row>
    <row r="41" spans="1:8" x14ac:dyDescent="0.25">
      <c r="A41">
        <v>39</v>
      </c>
      <c r="B41" s="4">
        <f t="shared" si="0"/>
        <v>2.564102564102564E-2</v>
      </c>
      <c r="C41">
        <v>-7</v>
      </c>
      <c r="D41" s="4">
        <f>$H$2*Таблица2[[#This Row],[1/X]]+$H$3</f>
        <v>-5.6141184714882915</v>
      </c>
      <c r="E41" s="4">
        <f>ABS(Таблица2[[#This Row],[Предсказанные значения]]-Таблица2[[#This Row],[Z]])</f>
        <v>1.3858815285117085</v>
      </c>
      <c r="F41" s="4">
        <f>ABS(Таблица2[[#This Row],[Остатки]]/Таблица2[[#This Row],[Z]])</f>
        <v>0.19798307550167266</v>
      </c>
    </row>
    <row r="42" spans="1:8" x14ac:dyDescent="0.25">
      <c r="A42" s="13">
        <v>38</v>
      </c>
      <c r="B42" s="4">
        <f t="shared" si="0"/>
        <v>2.6315789473684209E-2</v>
      </c>
      <c r="C42" s="13">
        <v>-2</v>
      </c>
      <c r="D42" s="4">
        <f>$H$2*Таблица2[[#This Row],[1/X]]+$H$3</f>
        <v>-5.5984523625394749</v>
      </c>
      <c r="E42" s="4">
        <f>ABS(Таблица2[[#This Row],[Предсказанные значения]]-Таблица2[[#This Row],[Z]])</f>
        <v>3.5984523625394749</v>
      </c>
      <c r="F42" s="4">
        <f>ABS(Таблица2[[#This Row],[Остатки]]/Таблица2[[#This Row],[Z]])</f>
        <v>1.7992261812697374</v>
      </c>
    </row>
    <row r="43" spans="1:8" x14ac:dyDescent="0.25">
      <c r="A43">
        <v>35</v>
      </c>
      <c r="B43" s="4">
        <f t="shared" si="0"/>
        <v>2.8571428571428571E-2</v>
      </c>
      <c r="C43">
        <v>-4</v>
      </c>
      <c r="D43" s="4">
        <f>$H$2*Таблица2[[#This Row],[1/X]]+$H$3</f>
        <v>-5.5460827983391434</v>
      </c>
      <c r="E43" s="4">
        <f>ABS(Таблица2[[#This Row],[Предсказанные значения]]-Таблица2[[#This Row],[Z]])</f>
        <v>1.5460827983391434</v>
      </c>
      <c r="F43" s="4">
        <f>ABS(Таблица2[[#This Row],[Остатки]]/Таблица2[[#This Row],[Z]])</f>
        <v>0.38652069958478585</v>
      </c>
    </row>
    <row r="44" spans="1:8" x14ac:dyDescent="0.25">
      <c r="A44" s="13">
        <v>40</v>
      </c>
      <c r="B44" s="4">
        <f t="shared" si="0"/>
        <v>2.5000000000000001E-2</v>
      </c>
      <c r="C44" s="13">
        <v>-10</v>
      </c>
      <c r="D44" s="4">
        <f>$H$2*Таблица2[[#This Row],[1/X]]+$H$3</f>
        <v>-5.6290012749896672</v>
      </c>
      <c r="E44" s="4">
        <f>ABS(Таблица2[[#This Row],[Предсказанные значения]]-Таблица2[[#This Row],[Z]])</f>
        <v>4.3709987250103328</v>
      </c>
      <c r="F44" s="4">
        <f>ABS(Таблица2[[#This Row],[Остатки]]/Таблица2[[#This Row],[Z]])</f>
        <v>0.43709987250103327</v>
      </c>
    </row>
    <row r="45" spans="1:8" x14ac:dyDescent="0.25">
      <c r="A45">
        <v>44</v>
      </c>
      <c r="B45" s="4">
        <f t="shared" si="0"/>
        <v>2.2727272727272728E-2</v>
      </c>
      <c r="C45">
        <v>-10</v>
      </c>
      <c r="D45" s="4">
        <f>$H$2*Таблица2[[#This Row],[1/X]]+$H$3</f>
        <v>-5.6817675783127282</v>
      </c>
      <c r="E45" s="4">
        <f>ABS(Таблица2[[#This Row],[Предсказанные значения]]-Таблица2[[#This Row],[Z]])</f>
        <v>4.3182324216872718</v>
      </c>
      <c r="F45" s="4">
        <f>ABS(Таблица2[[#This Row],[Остатки]]/Таблица2[[#This Row],[Z]])</f>
        <v>0.43182324216872719</v>
      </c>
    </row>
    <row r="46" spans="1:8" x14ac:dyDescent="0.25">
      <c r="A46" s="13">
        <v>30</v>
      </c>
      <c r="B46" s="4">
        <f t="shared" si="0"/>
        <v>3.3333333333333333E-2</v>
      </c>
      <c r="C46" s="13">
        <v>-9</v>
      </c>
      <c r="D46" s="4">
        <f>$H$2*Таблица2[[#This Row],[1/X]]+$H$3</f>
        <v>-5.4355248294717775</v>
      </c>
      <c r="E46" s="4">
        <f>ABS(Таблица2[[#This Row],[Предсказанные значения]]-Таблица2[[#This Row],[Z]])</f>
        <v>3.5644751705282225</v>
      </c>
      <c r="F46" s="4">
        <f>ABS(Таблица2[[#This Row],[Остатки]]/Таблица2[[#This Row],[Z]])</f>
        <v>0.39605279672535804</v>
      </c>
    </row>
    <row r="47" spans="1:8" x14ac:dyDescent="0.25">
      <c r="A47">
        <v>43</v>
      </c>
      <c r="B47" s="4">
        <f t="shared" si="0"/>
        <v>2.3255813953488372E-2</v>
      </c>
      <c r="C47">
        <v>-10</v>
      </c>
      <c r="D47" s="4">
        <f>$H$2*Таблица2[[#This Row],[1/X]]+$H$3</f>
        <v>-5.6694963449817841</v>
      </c>
      <c r="E47" s="4">
        <f>ABS(Таблица2[[#This Row],[Предсказанные значения]]-Таблица2[[#This Row],[Z]])</f>
        <v>4.3305036550182159</v>
      </c>
      <c r="F47" s="4">
        <f>ABS(Таблица2[[#This Row],[Остатки]]/Таблица2[[#This Row],[Z]])</f>
        <v>0.43305036550182158</v>
      </c>
    </row>
    <row r="48" spans="1:8" x14ac:dyDescent="0.25">
      <c r="A48" s="13">
        <v>43</v>
      </c>
      <c r="B48" s="4">
        <f t="shared" si="0"/>
        <v>2.3255813953488372E-2</v>
      </c>
      <c r="C48" s="13">
        <v>-10</v>
      </c>
      <c r="D48" s="4">
        <f>$H$2*Таблица2[[#This Row],[1/X]]+$H$3</f>
        <v>-5.6694963449817841</v>
      </c>
      <c r="E48" s="4">
        <f>ABS(Таблица2[[#This Row],[Предсказанные значения]]-Таблица2[[#This Row],[Z]])</f>
        <v>4.3305036550182159</v>
      </c>
      <c r="F48" s="4">
        <f>ABS(Таблица2[[#This Row],[Остатки]]/Таблица2[[#This Row],[Z]])</f>
        <v>0.43305036550182158</v>
      </c>
    </row>
    <row r="49" spans="1:6" x14ac:dyDescent="0.25">
      <c r="A49">
        <v>27</v>
      </c>
      <c r="B49" s="4">
        <f t="shared" si="0"/>
        <v>3.7037037037037035E-2</v>
      </c>
      <c r="C49">
        <v>-7</v>
      </c>
      <c r="D49" s="4">
        <f>$H$2*Таблица2[[#This Row],[1/X]]+$H$3</f>
        <v>-5.3495352981304931</v>
      </c>
      <c r="E49" s="4">
        <f>ABS(Таблица2[[#This Row],[Предсказанные значения]]-Таблица2[[#This Row],[Z]])</f>
        <v>1.6504647018695069</v>
      </c>
      <c r="F49" s="4">
        <f>ABS(Таблица2[[#This Row],[Остатки]]/Таблица2[[#This Row],[Z]])</f>
        <v>0.23578067169564385</v>
      </c>
    </row>
    <row r="50" spans="1:6" x14ac:dyDescent="0.25">
      <c r="A50" s="13">
        <v>49</v>
      </c>
      <c r="B50" s="4">
        <f t="shared" si="0"/>
        <v>2.0408163265306121E-2</v>
      </c>
      <c r="C50" s="13">
        <v>1</v>
      </c>
      <c r="D50" s="4">
        <f>$H$2*Таблица2[[#This Row],[1/X]]+$H$3</f>
        <v>-5.7356107449689135</v>
      </c>
      <c r="E50" s="4">
        <f>ABS(Таблица2[[#This Row],[Предсказанные значения]]-Таблица2[[#This Row],[Z]])</f>
        <v>6.7356107449689135</v>
      </c>
      <c r="F50" s="4">
        <f>ABS(Таблица2[[#This Row],[Остатки]]/Таблица2[[#This Row],[Z]])</f>
        <v>6.7356107449689135</v>
      </c>
    </row>
    <row r="51" spans="1:6" x14ac:dyDescent="0.25">
      <c r="A51">
        <v>35</v>
      </c>
      <c r="B51" s="4">
        <f t="shared" si="0"/>
        <v>2.8571428571428571E-2</v>
      </c>
      <c r="C51">
        <v>2</v>
      </c>
      <c r="D51" s="4">
        <f>$H$2*Таблица2[[#This Row],[1/X]]+$H$3</f>
        <v>-5.5460827983391434</v>
      </c>
      <c r="E51" s="4">
        <f>ABS(Таблица2[[#This Row],[Предсказанные значения]]-Таблица2[[#This Row],[Z]])</f>
        <v>7.5460827983391434</v>
      </c>
      <c r="F51" s="4">
        <f>ABS(Таблица2[[#This Row],[Остатки]]/Таблица2[[#This Row],[Z]])</f>
        <v>3.7730413991695717</v>
      </c>
    </row>
    <row r="52" spans="1:6" x14ac:dyDescent="0.25">
      <c r="A52" s="13">
        <v>36</v>
      </c>
      <c r="B52" s="4">
        <f t="shared" si="0"/>
        <v>2.7777777777777776E-2</v>
      </c>
      <c r="C52" s="13">
        <v>-10</v>
      </c>
      <c r="D52" s="4">
        <f>$H$2*Таблица2[[#This Row],[1/X]]+$H$3</f>
        <v>-5.5645091264837045</v>
      </c>
      <c r="E52" s="4">
        <f>ABS(Таблица2[[#This Row],[Предсказанные значения]]-Таблица2[[#This Row],[Z]])</f>
        <v>4.4354908735162955</v>
      </c>
      <c r="F52" s="4">
        <f>ABS(Таблица2[[#This Row],[Остатки]]/Таблица2[[#This Row],[Z]])</f>
        <v>0.44354908735162957</v>
      </c>
    </row>
    <row r="53" spans="1:6" x14ac:dyDescent="0.25">
      <c r="A53">
        <v>15</v>
      </c>
      <c r="B53" s="4">
        <f t="shared" si="0"/>
        <v>6.6666666666666666E-2</v>
      </c>
      <c r="C53">
        <v>-2</v>
      </c>
      <c r="D53" s="4">
        <f>$H$2*Таблица2[[#This Row],[1/X]]+$H$3</f>
        <v>-4.661619047400217</v>
      </c>
      <c r="E53" s="4">
        <f>ABS(Таблица2[[#This Row],[Предсказанные значения]]-Таблица2[[#This Row],[Z]])</f>
        <v>2.661619047400217</v>
      </c>
      <c r="F53" s="4">
        <f>ABS(Таблица2[[#This Row],[Остатки]]/Таблица2[[#This Row],[Z]])</f>
        <v>1.3308095237001085</v>
      </c>
    </row>
    <row r="54" spans="1:6" x14ac:dyDescent="0.25">
      <c r="A54" s="13">
        <v>33</v>
      </c>
      <c r="B54" s="4">
        <f t="shared" si="0"/>
        <v>3.0303030303030304E-2</v>
      </c>
      <c r="C54" s="13">
        <v>-6</v>
      </c>
      <c r="D54" s="4">
        <f>$H$2*Таблица2[[#This Row],[1/X]]+$H$3</f>
        <v>-5.5058799005691919</v>
      </c>
      <c r="E54" s="4">
        <f>ABS(Таблица2[[#This Row],[Предсказанные значения]]-Таблица2[[#This Row],[Z]])</f>
        <v>0.49412009943080815</v>
      </c>
      <c r="F54" s="4">
        <f>ABS(Таблица2[[#This Row],[Остатки]]/Таблица2[[#This Row],[Z]])</f>
        <v>8.2353349905134696E-2</v>
      </c>
    </row>
    <row r="55" spans="1:6" x14ac:dyDescent="0.25">
      <c r="A55">
        <v>27</v>
      </c>
      <c r="B55" s="4">
        <f t="shared" si="0"/>
        <v>3.7037037037037035E-2</v>
      </c>
      <c r="C55">
        <v>-7</v>
      </c>
      <c r="D55" s="4">
        <f>$H$2*Таблица2[[#This Row],[1/X]]+$H$3</f>
        <v>-5.3495352981304931</v>
      </c>
      <c r="E55" s="4">
        <f>ABS(Таблица2[[#This Row],[Предсказанные значения]]-Таблица2[[#This Row],[Z]])</f>
        <v>1.6504647018695069</v>
      </c>
      <c r="F55" s="4">
        <f>ABS(Таблица2[[#This Row],[Остатки]]/Таблица2[[#This Row],[Z]])</f>
        <v>0.23578067169564385</v>
      </c>
    </row>
    <row r="56" spans="1:6" x14ac:dyDescent="0.25">
      <c r="A56" s="13">
        <v>43</v>
      </c>
      <c r="B56" s="4">
        <f t="shared" si="0"/>
        <v>2.3255813953488372E-2</v>
      </c>
      <c r="C56" s="13">
        <v>-3</v>
      </c>
      <c r="D56" s="4">
        <f>$H$2*Таблица2[[#This Row],[1/X]]+$H$3</f>
        <v>-5.6694963449817841</v>
      </c>
      <c r="E56" s="4">
        <f>ABS(Таблица2[[#This Row],[Предсказанные значения]]-Таблица2[[#This Row],[Z]])</f>
        <v>2.6694963449817841</v>
      </c>
      <c r="F56" s="4">
        <f>ABS(Таблица2[[#This Row],[Остатки]]/Таблица2[[#This Row],[Z]])</f>
        <v>0.889832114993928</v>
      </c>
    </row>
    <row r="57" spans="1:6" x14ac:dyDescent="0.25">
      <c r="A57">
        <v>47</v>
      </c>
      <c r="B57" s="4">
        <f t="shared" si="0"/>
        <v>2.1276595744680851E-2</v>
      </c>
      <c r="C57">
        <v>-7</v>
      </c>
      <c r="D57" s="4">
        <f>$H$2*Таблица2[[#This Row],[1/X]]+$H$3</f>
        <v>-5.7154481974551077</v>
      </c>
      <c r="E57" s="4">
        <f>ABS(Таблица2[[#This Row],[Предсказанные значения]]-Таблица2[[#This Row],[Z]])</f>
        <v>1.2845518025448923</v>
      </c>
      <c r="F57" s="4">
        <f>ABS(Таблица2[[#This Row],[Остатки]]/Таблица2[[#This Row],[Z]])</f>
        <v>0.18350740036355603</v>
      </c>
    </row>
    <row r="58" spans="1:6" x14ac:dyDescent="0.25">
      <c r="A58" s="13">
        <v>33</v>
      </c>
      <c r="B58" s="4">
        <f t="shared" si="0"/>
        <v>3.0303030303030304E-2</v>
      </c>
      <c r="C58" s="13">
        <v>-6</v>
      </c>
      <c r="D58" s="4">
        <f>$H$2*Таблица2[[#This Row],[1/X]]+$H$3</f>
        <v>-5.5058799005691919</v>
      </c>
      <c r="E58" s="4">
        <f>ABS(Таблица2[[#This Row],[Предсказанные значения]]-Таблица2[[#This Row],[Z]])</f>
        <v>0.49412009943080815</v>
      </c>
      <c r="F58" s="4">
        <f>ABS(Таблица2[[#This Row],[Остатки]]/Таблица2[[#This Row],[Z]])</f>
        <v>8.2353349905134696E-2</v>
      </c>
    </row>
    <row r="59" spans="1:6" x14ac:dyDescent="0.25">
      <c r="A59">
        <v>28</v>
      </c>
      <c r="B59" s="4">
        <f t="shared" si="0"/>
        <v>3.5714285714285712E-2</v>
      </c>
      <c r="C59">
        <v>-9</v>
      </c>
      <c r="D59" s="4">
        <f>$H$2*Таблица2[[#This Row],[1/X]]+$H$3</f>
        <v>-5.380245845038095</v>
      </c>
      <c r="E59" s="4">
        <f>ABS(Таблица2[[#This Row],[Предсказанные значения]]-Таблица2[[#This Row],[Z]])</f>
        <v>3.619754154961905</v>
      </c>
      <c r="F59" s="4">
        <f>ABS(Таблица2[[#This Row],[Остатки]]/Таблица2[[#This Row],[Z]])</f>
        <v>0.40219490610687836</v>
      </c>
    </row>
    <row r="60" spans="1:6" x14ac:dyDescent="0.25">
      <c r="A60" s="13">
        <v>41</v>
      </c>
      <c r="B60" s="4">
        <f t="shared" si="0"/>
        <v>2.4390243902439025E-2</v>
      </c>
      <c r="C60" s="13">
        <v>-5</v>
      </c>
      <c r="D60" s="4">
        <f>$H$2*Таблица2[[#This Row],[1/X]]+$H$3</f>
        <v>-5.6431580880763423</v>
      </c>
      <c r="E60" s="4">
        <f>ABS(Таблица2[[#This Row],[Предсказанные значения]]-Таблица2[[#This Row],[Z]])</f>
        <v>0.64315808807634234</v>
      </c>
      <c r="F60" s="4">
        <f>ABS(Таблица2[[#This Row],[Остатки]]/Таблица2[[#This Row],[Z]])</f>
        <v>0.12863161761526848</v>
      </c>
    </row>
    <row r="61" spans="1:6" x14ac:dyDescent="0.25">
      <c r="A61">
        <v>59</v>
      </c>
      <c r="B61" s="4">
        <f t="shared" si="0"/>
        <v>1.6949152542372881E-2</v>
      </c>
      <c r="C61">
        <v>-1</v>
      </c>
      <c r="D61" s="4">
        <f>$H$2*Таблица2[[#This Row],[1/X]]+$H$3</f>
        <v>-5.8159191969306798</v>
      </c>
      <c r="E61" s="4">
        <f>ABS(Таблица2[[#This Row],[Предсказанные значения]]-Таблица2[[#This Row],[Z]])</f>
        <v>4.8159191969306798</v>
      </c>
      <c r="F61" s="4">
        <f>ABS(Таблица2[[#This Row],[Остатки]]/Таблица2[[#This Row],[Z]])</f>
        <v>4.8159191969306798</v>
      </c>
    </row>
    <row r="62" spans="1:6" x14ac:dyDescent="0.25">
      <c r="A62" s="13">
        <v>23</v>
      </c>
      <c r="B62" s="4">
        <f t="shared" si="0"/>
        <v>4.3478260869565216E-2</v>
      </c>
      <c r="C62" s="13">
        <v>-5</v>
      </c>
      <c r="D62" s="4">
        <f>$H$2*Таблица2[[#This Row],[1/X]]+$H$3</f>
        <v>-5.1999882871021725</v>
      </c>
      <c r="E62" s="4">
        <f>ABS(Таблица2[[#This Row],[Предсказанные значения]]-Таблица2[[#This Row],[Z]])</f>
        <v>0.19998828710217254</v>
      </c>
      <c r="F62" s="4">
        <f>ABS(Таблица2[[#This Row],[Остатки]]/Таблица2[[#This Row],[Z]])</f>
        <v>3.9997657420434506E-2</v>
      </c>
    </row>
    <row r="63" spans="1:6" x14ac:dyDescent="0.25">
      <c r="A63">
        <v>39</v>
      </c>
      <c r="B63" s="4">
        <f t="shared" si="0"/>
        <v>2.564102564102564E-2</v>
      </c>
      <c r="C63">
        <v>-4</v>
      </c>
      <c r="D63" s="4">
        <f>$H$2*Таблица2[[#This Row],[1/X]]+$H$3</f>
        <v>-5.6141184714882915</v>
      </c>
      <c r="E63" s="4">
        <f>ABS(Таблица2[[#This Row],[Предсказанные значения]]-Таблица2[[#This Row],[Z]])</f>
        <v>1.6141184714882915</v>
      </c>
      <c r="F63" s="4">
        <f>ABS(Таблица2[[#This Row],[Остатки]]/Таблица2[[#This Row],[Z]])</f>
        <v>0.40352961787207287</v>
      </c>
    </row>
    <row r="64" spans="1:6" x14ac:dyDescent="0.25">
      <c r="A64" s="13">
        <v>37</v>
      </c>
      <c r="B64" s="4">
        <f t="shared" si="0"/>
        <v>2.7027027027027029E-2</v>
      </c>
      <c r="C64" s="13">
        <v>-3</v>
      </c>
      <c r="D64" s="4">
        <f>$H$2*Таблица2[[#This Row],[1/X]]+$H$3</f>
        <v>-5.5819394368907211</v>
      </c>
      <c r="E64" s="4">
        <f>ABS(Таблица2[[#This Row],[Предсказанные значения]]-Таблица2[[#This Row],[Z]])</f>
        <v>2.5819394368907211</v>
      </c>
      <c r="F64" s="4">
        <f>ABS(Таблица2[[#This Row],[Остатки]]/Таблица2[[#This Row],[Z]])</f>
        <v>0.86064647896357371</v>
      </c>
    </row>
    <row r="65" spans="1:6" x14ac:dyDescent="0.25">
      <c r="A65">
        <v>49</v>
      </c>
      <c r="B65" s="4">
        <f t="shared" si="0"/>
        <v>2.0408163265306121E-2</v>
      </c>
      <c r="C65">
        <v>-2</v>
      </c>
      <c r="D65" s="4">
        <f>$H$2*Таблица2[[#This Row],[1/X]]+$H$3</f>
        <v>-5.7356107449689135</v>
      </c>
      <c r="E65" s="4">
        <f>ABS(Таблица2[[#This Row],[Предсказанные значения]]-Таблица2[[#This Row],[Z]])</f>
        <v>3.7356107449689135</v>
      </c>
      <c r="F65" s="4">
        <f>ABS(Таблица2[[#This Row],[Остатки]]/Таблица2[[#This Row],[Z]])</f>
        <v>1.8678053724844568</v>
      </c>
    </row>
    <row r="66" spans="1:6" x14ac:dyDescent="0.25">
      <c r="A66" s="13">
        <v>26</v>
      </c>
      <c r="B66" s="4">
        <f t="shared" si="0"/>
        <v>3.8461538461538464E-2</v>
      </c>
      <c r="C66" s="13">
        <v>-7</v>
      </c>
      <c r="D66" s="4">
        <f>$H$2*Таблица2[[#This Row],[1/X]]+$H$3</f>
        <v>-5.3164624014607682</v>
      </c>
      <c r="E66" s="4">
        <f>ABS(Таблица2[[#This Row],[Предсказанные значения]]-Таблица2[[#This Row],[Z]])</f>
        <v>1.6835375985392318</v>
      </c>
      <c r="F66" s="4">
        <f>ABS(Таблица2[[#This Row],[Остатки]]/Таблица2[[#This Row],[Z]])</f>
        <v>0.24050537121989027</v>
      </c>
    </row>
    <row r="67" spans="1:6" x14ac:dyDescent="0.25">
      <c r="A67">
        <v>20</v>
      </c>
      <c r="B67" s="4">
        <f t="shared" ref="B67:B91" si="1">1/A67</f>
        <v>0.05</v>
      </c>
      <c r="C67">
        <v>-3</v>
      </c>
      <c r="D67" s="4">
        <f>$H$2*Таблица2[[#This Row],[1/X]]+$H$3</f>
        <v>-5.0485719384359973</v>
      </c>
      <c r="E67" s="4">
        <f>ABS(Таблица2[[#This Row],[Предсказанные значения]]-Таблица2[[#This Row],[Z]])</f>
        <v>2.0485719384359973</v>
      </c>
      <c r="F67" s="4">
        <f>ABS(Таблица2[[#This Row],[Остатки]]/Таблица2[[#This Row],[Z]])</f>
        <v>0.68285731281199913</v>
      </c>
    </row>
    <row r="68" spans="1:6" x14ac:dyDescent="0.25">
      <c r="A68" s="13">
        <v>48</v>
      </c>
      <c r="B68" s="4">
        <f t="shared" si="1"/>
        <v>2.0833333333333332E-2</v>
      </c>
      <c r="C68" s="13">
        <v>-9</v>
      </c>
      <c r="D68" s="4">
        <f>$H$2*Таблица2[[#This Row],[1/X]]+$H$3</f>
        <v>-5.7257394977486129</v>
      </c>
      <c r="E68" s="4">
        <f>ABS(Таблица2[[#This Row],[Предсказанные значения]]-Таблица2[[#This Row],[Z]])</f>
        <v>3.2742605022513871</v>
      </c>
      <c r="F68" s="4">
        <f>ABS(Таблица2[[#This Row],[Остатки]]/Таблица2[[#This Row],[Z]])</f>
        <v>0.36380672247237633</v>
      </c>
    </row>
    <row r="69" spans="1:6" x14ac:dyDescent="0.25">
      <c r="A69">
        <v>32</v>
      </c>
      <c r="B69" s="4">
        <f t="shared" si="1"/>
        <v>3.125E-2</v>
      </c>
      <c r="C69">
        <v>-10</v>
      </c>
      <c r="D69" s="4">
        <f>$H$2*Таблица2[[#This Row],[1/X]]+$H$3</f>
        <v>-5.4838939408512504</v>
      </c>
      <c r="E69" s="4">
        <f>ABS(Таблица2[[#This Row],[Предсказанные значения]]-Таблица2[[#This Row],[Z]])</f>
        <v>4.5161060591487496</v>
      </c>
      <c r="F69" s="4">
        <f>ABS(Таблица2[[#This Row],[Остатки]]/Таблица2[[#This Row],[Z]])</f>
        <v>0.45161060591487495</v>
      </c>
    </row>
    <row r="70" spans="1:6" x14ac:dyDescent="0.25">
      <c r="A70" s="13">
        <v>52</v>
      </c>
      <c r="B70" s="4">
        <f t="shared" si="1"/>
        <v>1.9230769230769232E-2</v>
      </c>
      <c r="C70" s="13">
        <v>-8</v>
      </c>
      <c r="D70" s="4">
        <f>$H$2*Таблица2[[#This Row],[1/X]]+$H$3</f>
        <v>-5.7629465065020531</v>
      </c>
      <c r="E70" s="4">
        <f>ABS(Таблица2[[#This Row],[Предсказанные значения]]-Таблица2[[#This Row],[Z]])</f>
        <v>2.2370534934979469</v>
      </c>
      <c r="F70" s="4">
        <f>ABS(Таблица2[[#This Row],[Остатки]]/Таблица2[[#This Row],[Z]])</f>
        <v>0.27963168668724336</v>
      </c>
    </row>
    <row r="71" spans="1:6" x14ac:dyDescent="0.25">
      <c r="A71">
        <v>43</v>
      </c>
      <c r="B71" s="4">
        <f t="shared" si="1"/>
        <v>2.3255813953488372E-2</v>
      </c>
      <c r="C71">
        <v>-1</v>
      </c>
      <c r="D71" s="4">
        <f>$H$2*Таблица2[[#This Row],[1/X]]+$H$3</f>
        <v>-5.6694963449817841</v>
      </c>
      <c r="E71" s="4">
        <f>ABS(Таблица2[[#This Row],[Предсказанные значения]]-Таблица2[[#This Row],[Z]])</f>
        <v>4.6694963449817841</v>
      </c>
      <c r="F71" s="4">
        <f>ABS(Таблица2[[#This Row],[Остатки]]/Таблица2[[#This Row],[Z]])</f>
        <v>4.6694963449817841</v>
      </c>
    </row>
    <row r="72" spans="1:6" x14ac:dyDescent="0.25">
      <c r="A72" s="13">
        <v>49</v>
      </c>
      <c r="B72" s="4">
        <f t="shared" si="1"/>
        <v>2.0408163265306121E-2</v>
      </c>
      <c r="C72" s="13">
        <v>-2</v>
      </c>
      <c r="D72" s="4">
        <f>$H$2*Таблица2[[#This Row],[1/X]]+$H$3</f>
        <v>-5.7356107449689135</v>
      </c>
      <c r="E72" s="4">
        <f>ABS(Таблица2[[#This Row],[Предсказанные значения]]-Таблица2[[#This Row],[Z]])</f>
        <v>3.7356107449689135</v>
      </c>
      <c r="F72" s="4">
        <f>ABS(Таблица2[[#This Row],[Остатки]]/Таблица2[[#This Row],[Z]])</f>
        <v>1.8678053724844568</v>
      </c>
    </row>
    <row r="73" spans="1:6" x14ac:dyDescent="0.25">
      <c r="A73">
        <v>39</v>
      </c>
      <c r="B73" s="4">
        <f t="shared" si="1"/>
        <v>2.564102564102564E-2</v>
      </c>
      <c r="C73">
        <v>-7</v>
      </c>
      <c r="D73" s="4">
        <f>$H$2*Таблица2[[#This Row],[1/X]]+$H$3</f>
        <v>-5.6141184714882915</v>
      </c>
      <c r="E73" s="4">
        <f>ABS(Таблица2[[#This Row],[Предсказанные значения]]-Таблица2[[#This Row],[Z]])</f>
        <v>1.3858815285117085</v>
      </c>
      <c r="F73" s="4">
        <f>ABS(Таблица2[[#This Row],[Остатки]]/Таблица2[[#This Row],[Z]])</f>
        <v>0.19798307550167266</v>
      </c>
    </row>
    <row r="74" spans="1:6" x14ac:dyDescent="0.25">
      <c r="A74" s="13">
        <v>42</v>
      </c>
      <c r="B74" s="4">
        <f t="shared" si="1"/>
        <v>2.3809523809523808E-2</v>
      </c>
      <c r="C74" s="13">
        <v>-3</v>
      </c>
      <c r="D74" s="4">
        <f>$H$2*Таблица2[[#This Row],[1/X]]+$H$3</f>
        <v>-5.6566407672065093</v>
      </c>
      <c r="E74" s="4">
        <f>ABS(Таблица2[[#This Row],[Предсказанные значения]]-Таблица2[[#This Row],[Z]])</f>
        <v>2.6566407672065093</v>
      </c>
      <c r="F74" s="4">
        <f>ABS(Таблица2[[#This Row],[Остатки]]/Таблица2[[#This Row],[Z]])</f>
        <v>0.88554692240216981</v>
      </c>
    </row>
    <row r="75" spans="1:6" x14ac:dyDescent="0.25">
      <c r="A75">
        <v>37</v>
      </c>
      <c r="B75" s="4">
        <f t="shared" si="1"/>
        <v>2.7027027027027029E-2</v>
      </c>
      <c r="C75">
        <v>-5</v>
      </c>
      <c r="D75" s="4">
        <f>$H$2*Таблица2[[#This Row],[1/X]]+$H$3</f>
        <v>-5.5819394368907211</v>
      </c>
      <c r="E75" s="4">
        <f>ABS(Таблица2[[#This Row],[Предсказанные значения]]-Таблица2[[#This Row],[Z]])</f>
        <v>0.58193943689072114</v>
      </c>
      <c r="F75" s="4">
        <f>ABS(Таблица2[[#This Row],[Остатки]]/Таблица2[[#This Row],[Z]])</f>
        <v>0.11638788737814423</v>
      </c>
    </row>
    <row r="76" spans="1:6" x14ac:dyDescent="0.25">
      <c r="A76" s="13">
        <v>30</v>
      </c>
      <c r="B76" s="4">
        <f t="shared" si="1"/>
        <v>3.3333333333333333E-2</v>
      </c>
      <c r="C76" s="13">
        <v>-4</v>
      </c>
      <c r="D76" s="4">
        <f>$H$2*Таблица2[[#This Row],[1/X]]+$H$3</f>
        <v>-5.4355248294717775</v>
      </c>
      <c r="E76" s="4">
        <f>ABS(Таблица2[[#This Row],[Предсказанные значения]]-Таблица2[[#This Row],[Z]])</f>
        <v>1.4355248294717775</v>
      </c>
      <c r="F76" s="4">
        <f>ABS(Таблица2[[#This Row],[Остатки]]/Таблица2[[#This Row],[Z]])</f>
        <v>0.35888120736794438</v>
      </c>
    </row>
    <row r="77" spans="1:6" x14ac:dyDescent="0.25">
      <c r="A77">
        <v>27</v>
      </c>
      <c r="B77" s="4">
        <f t="shared" si="1"/>
        <v>3.7037037037037035E-2</v>
      </c>
      <c r="C77">
        <v>-4</v>
      </c>
      <c r="D77" s="4">
        <f>$H$2*Таблица2[[#This Row],[1/X]]+$H$3</f>
        <v>-5.3495352981304931</v>
      </c>
      <c r="E77" s="4">
        <f>ABS(Таблица2[[#This Row],[Предсказанные значения]]-Таблица2[[#This Row],[Z]])</f>
        <v>1.3495352981304931</v>
      </c>
      <c r="F77" s="4">
        <f>ABS(Таблица2[[#This Row],[Остатки]]/Таблица2[[#This Row],[Z]])</f>
        <v>0.33738382453262328</v>
      </c>
    </row>
    <row r="78" spans="1:6" x14ac:dyDescent="0.25">
      <c r="A78" s="13">
        <v>18</v>
      </c>
      <c r="B78" s="4">
        <f t="shared" si="1"/>
        <v>5.5555555555555552E-2</v>
      </c>
      <c r="C78" s="13">
        <v>-5</v>
      </c>
      <c r="D78" s="4">
        <f>$H$2*Таблица2[[#This Row],[1/X]]+$H$3</f>
        <v>-4.9195876414240711</v>
      </c>
      <c r="E78" s="4">
        <f>ABS(Таблица2[[#This Row],[Предсказанные значения]]-Таблица2[[#This Row],[Z]])</f>
        <v>8.0412358575928877E-2</v>
      </c>
      <c r="F78" s="4">
        <f>ABS(Таблица2[[#This Row],[Остатки]]/Таблица2[[#This Row],[Z]])</f>
        <v>1.6082471715185776E-2</v>
      </c>
    </row>
    <row r="79" spans="1:6" x14ac:dyDescent="0.25">
      <c r="A79">
        <v>42</v>
      </c>
      <c r="B79" s="4">
        <f t="shared" si="1"/>
        <v>2.3809523809523808E-2</v>
      </c>
      <c r="C79">
        <v>-7</v>
      </c>
      <c r="D79" s="4">
        <f>$H$2*Таблица2[[#This Row],[1/X]]+$H$3</f>
        <v>-5.6566407672065093</v>
      </c>
      <c r="E79" s="4">
        <f>ABS(Таблица2[[#This Row],[Предсказанные значения]]-Таблица2[[#This Row],[Z]])</f>
        <v>1.3433592327934907</v>
      </c>
      <c r="F79" s="4">
        <f>ABS(Таблица2[[#This Row],[Остатки]]/Таблица2[[#This Row],[Z]])</f>
        <v>0.19190846182764151</v>
      </c>
    </row>
    <row r="80" spans="1:6" x14ac:dyDescent="0.25">
      <c r="A80" s="13">
        <v>24</v>
      </c>
      <c r="B80" s="4">
        <f t="shared" si="1"/>
        <v>4.1666666666666664E-2</v>
      </c>
      <c r="C80" s="13">
        <v>-8</v>
      </c>
      <c r="D80" s="4">
        <f>$H$2*Таблица2[[#This Row],[1/X]]+$H$3</f>
        <v>-5.2420483839538878</v>
      </c>
      <c r="E80" s="4">
        <f>ABS(Таблица2[[#This Row],[Предсказанные значения]]-Таблица2[[#This Row],[Z]])</f>
        <v>2.7579516160461122</v>
      </c>
      <c r="F80" s="4">
        <f>ABS(Таблица2[[#This Row],[Остатки]]/Таблица2[[#This Row],[Z]])</f>
        <v>0.34474395200576402</v>
      </c>
    </row>
    <row r="81" spans="1:6" x14ac:dyDescent="0.25">
      <c r="A81">
        <v>31</v>
      </c>
      <c r="B81" s="4">
        <f t="shared" si="1"/>
        <v>3.2258064516129031E-2</v>
      </c>
      <c r="C81">
        <v>-10</v>
      </c>
      <c r="D81" s="4">
        <f>$H$2*Таблица2[[#This Row],[1/X]]+$H$3</f>
        <v>-5.4604895321192473</v>
      </c>
      <c r="E81" s="4">
        <f>ABS(Таблица2[[#This Row],[Предсказанные значения]]-Таблица2[[#This Row],[Z]])</f>
        <v>4.5395104678807527</v>
      </c>
      <c r="F81" s="4">
        <f>ABS(Таблица2[[#This Row],[Остатки]]/Таблица2[[#This Row],[Z]])</f>
        <v>0.4539510467880753</v>
      </c>
    </row>
    <row r="82" spans="1:6" x14ac:dyDescent="0.25">
      <c r="A82" s="13">
        <v>27</v>
      </c>
      <c r="B82" s="4">
        <f t="shared" si="1"/>
        <v>3.7037037037037035E-2</v>
      </c>
      <c r="C82" s="13">
        <v>-5</v>
      </c>
      <c r="D82" s="4">
        <f>$H$2*Таблица2[[#This Row],[1/X]]+$H$3</f>
        <v>-5.3495352981304931</v>
      </c>
      <c r="E82" s="4">
        <f>ABS(Таблица2[[#This Row],[Предсказанные значения]]-Таблица2[[#This Row],[Z]])</f>
        <v>0.34953529813049311</v>
      </c>
      <c r="F82" s="4">
        <f>ABS(Таблица2[[#This Row],[Остатки]]/Таблица2[[#This Row],[Z]])</f>
        <v>6.9907059626098625E-2</v>
      </c>
    </row>
    <row r="83" spans="1:6" x14ac:dyDescent="0.25">
      <c r="A83">
        <v>34</v>
      </c>
      <c r="B83" s="4">
        <f t="shared" si="1"/>
        <v>2.9411764705882353E-2</v>
      </c>
      <c r="C83">
        <v>-6</v>
      </c>
      <c r="D83" s="4">
        <f>$H$2*Таблица2[[#This Row],[1/X]]+$H$3</f>
        <v>-5.5265725685390201</v>
      </c>
      <c r="E83" s="4">
        <f>ABS(Таблица2[[#This Row],[Предсказанные значения]]-Таблица2[[#This Row],[Z]])</f>
        <v>0.47342743146097988</v>
      </c>
      <c r="F83" s="4">
        <f>ABS(Таблица2[[#This Row],[Остатки]]/Таблица2[[#This Row],[Z]])</f>
        <v>7.8904571910163313E-2</v>
      </c>
    </row>
    <row r="84" spans="1:6" x14ac:dyDescent="0.25">
      <c r="A84" s="13">
        <v>24</v>
      </c>
      <c r="B84" s="4">
        <f t="shared" si="1"/>
        <v>4.1666666666666664E-2</v>
      </c>
      <c r="C84" s="13">
        <v>-5</v>
      </c>
      <c r="D84" s="4">
        <f>$H$2*Таблица2[[#This Row],[1/X]]+$H$3</f>
        <v>-5.2420483839538878</v>
      </c>
      <c r="E84" s="4">
        <f>ABS(Таблица2[[#This Row],[Предсказанные значения]]-Таблица2[[#This Row],[Z]])</f>
        <v>0.24204838395388784</v>
      </c>
      <c r="F84" s="4">
        <f>ABS(Таблица2[[#This Row],[Остатки]]/Таблица2[[#This Row],[Z]])</f>
        <v>4.8409676790777567E-2</v>
      </c>
    </row>
    <row r="85" spans="1:6" x14ac:dyDescent="0.25">
      <c r="A85">
        <v>43</v>
      </c>
      <c r="B85" s="4">
        <f t="shared" si="1"/>
        <v>2.3255813953488372E-2</v>
      </c>
      <c r="C85">
        <v>-5</v>
      </c>
      <c r="D85" s="4">
        <f>$H$2*Таблица2[[#This Row],[1/X]]+$H$3</f>
        <v>-5.6694963449817841</v>
      </c>
      <c r="E85" s="4">
        <f>ABS(Таблица2[[#This Row],[Предсказанные значения]]-Таблица2[[#This Row],[Z]])</f>
        <v>0.66949634498178412</v>
      </c>
      <c r="F85" s="4">
        <f>ABS(Таблица2[[#This Row],[Остатки]]/Таблица2[[#This Row],[Z]])</f>
        <v>0.13389926899635682</v>
      </c>
    </row>
    <row r="86" spans="1:6" x14ac:dyDescent="0.25">
      <c r="A86" s="13">
        <v>46</v>
      </c>
      <c r="B86" s="4">
        <f t="shared" si="1"/>
        <v>2.1739130434782608E-2</v>
      </c>
      <c r="C86" s="13">
        <v>-4</v>
      </c>
      <c r="D86" s="4">
        <f>$H$2*Таблица2[[#This Row],[1/X]]+$H$3</f>
        <v>-5.7047094493227553</v>
      </c>
      <c r="E86" s="4">
        <f>ABS(Таблица2[[#This Row],[Предсказанные значения]]-Таблица2[[#This Row],[Z]])</f>
        <v>1.7047094493227553</v>
      </c>
      <c r="F86" s="4">
        <f>ABS(Таблица2[[#This Row],[Остатки]]/Таблица2[[#This Row],[Z]])</f>
        <v>0.42617736233068881</v>
      </c>
    </row>
    <row r="87" spans="1:6" x14ac:dyDescent="0.25">
      <c r="A87">
        <v>37</v>
      </c>
      <c r="B87" s="4">
        <f t="shared" si="1"/>
        <v>2.7027027027027029E-2</v>
      </c>
      <c r="C87">
        <v>-8</v>
      </c>
      <c r="D87" s="4">
        <f>$H$2*Таблица2[[#This Row],[1/X]]+$H$3</f>
        <v>-5.5819394368907211</v>
      </c>
      <c r="E87" s="4">
        <f>ABS(Таблица2[[#This Row],[Предсказанные значения]]-Таблица2[[#This Row],[Z]])</f>
        <v>2.4180605631092789</v>
      </c>
      <c r="F87" s="4">
        <f>ABS(Таблица2[[#This Row],[Остатки]]/Таблица2[[#This Row],[Z]])</f>
        <v>0.30225757038865986</v>
      </c>
    </row>
    <row r="88" spans="1:6" x14ac:dyDescent="0.25">
      <c r="A88" s="13">
        <v>35</v>
      </c>
      <c r="B88" s="4">
        <f t="shared" si="1"/>
        <v>2.8571428571428571E-2</v>
      </c>
      <c r="C88" s="13">
        <v>-6</v>
      </c>
      <c r="D88" s="4">
        <f>$H$2*Таблица2[[#This Row],[1/X]]+$H$3</f>
        <v>-5.5460827983391434</v>
      </c>
      <c r="E88" s="4">
        <f>ABS(Таблица2[[#This Row],[Предсказанные значения]]-Таблица2[[#This Row],[Z]])</f>
        <v>0.45391720166085658</v>
      </c>
      <c r="F88" s="4">
        <f>ABS(Таблица2[[#This Row],[Остатки]]/Таблица2[[#This Row],[Z]])</f>
        <v>7.5652866943476102E-2</v>
      </c>
    </row>
    <row r="89" spans="1:6" x14ac:dyDescent="0.25">
      <c r="A89">
        <v>28</v>
      </c>
      <c r="B89" s="4">
        <f t="shared" si="1"/>
        <v>3.5714285714285712E-2</v>
      </c>
      <c r="C89">
        <v>-7</v>
      </c>
      <c r="D89" s="4">
        <f>$H$2*Таблица2[[#This Row],[1/X]]+$H$3</f>
        <v>-5.380245845038095</v>
      </c>
      <c r="E89" s="4">
        <f>ABS(Таблица2[[#This Row],[Предсказанные значения]]-Таблица2[[#This Row],[Z]])</f>
        <v>1.619754154961905</v>
      </c>
      <c r="F89" s="4">
        <f>ABS(Таблица2[[#This Row],[Остатки]]/Таблица2[[#This Row],[Z]])</f>
        <v>0.23139345070884357</v>
      </c>
    </row>
    <row r="90" spans="1:6" x14ac:dyDescent="0.25">
      <c r="A90" s="13">
        <v>22</v>
      </c>
      <c r="B90" s="4">
        <f t="shared" si="1"/>
        <v>4.5454545454545456E-2</v>
      </c>
      <c r="C90" s="13">
        <v>-1</v>
      </c>
      <c r="D90" s="4">
        <f>$H$2*Таблица2[[#This Row],[1/X]]+$H$3</f>
        <v>-5.1541045450821192</v>
      </c>
      <c r="E90" s="4">
        <f>ABS(Таблица2[[#This Row],[Предсказанные значения]]-Таблица2[[#This Row],[Z]])</f>
        <v>4.1541045450821192</v>
      </c>
      <c r="F90" s="4">
        <f>ABS(Таблица2[[#This Row],[Остатки]]/Таблица2[[#This Row],[Z]])</f>
        <v>4.1541045450821192</v>
      </c>
    </row>
    <row r="91" spans="1:6" x14ac:dyDescent="0.25">
      <c r="A91">
        <v>35</v>
      </c>
      <c r="B91" s="4">
        <f t="shared" si="1"/>
        <v>2.8571428571428571E-2</v>
      </c>
      <c r="C91" s="14">
        <v>-10</v>
      </c>
      <c r="D91" s="4">
        <f>$H$2*Таблица2[[#This Row],[1/X]]+$H$3</f>
        <v>-5.5460827983391434</v>
      </c>
      <c r="E91" s="4">
        <f>ABS(Таблица2[[#This Row],[Предсказанные значения]]-Таблица2[[#This Row],[Z]])</f>
        <v>4.4539172016608566</v>
      </c>
      <c r="F91" s="4">
        <f>ABS(Таблица2[[#This Row],[Остатки]]/Таблица2[[#This Row],[Z]])</f>
        <v>0.44539172016608564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9A3D-2BED-4ED6-ABE8-F919AB23E51B}">
  <dimension ref="A1:I114"/>
  <sheetViews>
    <sheetView workbookViewId="0">
      <selection activeCell="C20" sqref="C20"/>
    </sheetView>
  </sheetViews>
  <sheetFormatPr defaultRowHeight="15" x14ac:dyDescent="0.25"/>
  <cols>
    <col min="1" max="1" width="26.28515625" bestFit="1" customWidth="1"/>
    <col min="2" max="2" width="17.140625" bestFit="1" customWidth="1"/>
    <col min="3" max="3" width="23.28515625" bestFit="1" customWidth="1"/>
    <col min="4" max="4" width="25" bestFit="1" customWidth="1"/>
    <col min="5" max="5" width="12" bestFit="1" customWidth="1"/>
    <col min="6" max="6" width="14.7109375" bestFit="1" customWidth="1"/>
    <col min="7" max="7" width="13.140625" bestFit="1" customWidth="1"/>
    <col min="8" max="8" width="14.7109375" bestFit="1" customWidth="1"/>
    <col min="9" max="9" width="14.8554687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 s="4">
        <v>6.9037100159633893E-2</v>
      </c>
    </row>
    <row r="5" spans="1:9" x14ac:dyDescent="0.25">
      <c r="A5" t="s">
        <v>10</v>
      </c>
      <c r="B5" s="4">
        <v>4.7661211984513221E-3</v>
      </c>
    </row>
    <row r="6" spans="1:9" x14ac:dyDescent="0.25">
      <c r="A6" t="s">
        <v>11</v>
      </c>
      <c r="B6" s="4">
        <v>-6.5433546970208208E-3</v>
      </c>
    </row>
    <row r="7" spans="1:9" x14ac:dyDescent="0.25">
      <c r="A7" t="s">
        <v>12</v>
      </c>
      <c r="B7" s="4">
        <v>3.0977354045277705</v>
      </c>
    </row>
    <row r="8" spans="1:9" ht="15.75" thickBot="1" x14ac:dyDescent="0.3">
      <c r="A8" s="1" t="s">
        <v>13</v>
      </c>
      <c r="B8" s="1">
        <v>90</v>
      </c>
    </row>
    <row r="10" spans="1:9" ht="15.75" thickBot="1" x14ac:dyDescent="0.3">
      <c r="A10" t="s">
        <v>14</v>
      </c>
    </row>
    <row r="11" spans="1:9" x14ac:dyDescent="0.25">
      <c r="A11" s="2"/>
      <c r="B11" s="2" t="s">
        <v>3</v>
      </c>
      <c r="C11" s="2" t="s">
        <v>4</v>
      </c>
      <c r="D11" s="2" t="s">
        <v>5</v>
      </c>
      <c r="E11" s="2" t="s">
        <v>6</v>
      </c>
      <c r="F11" s="2" t="s">
        <v>19</v>
      </c>
    </row>
    <row r="12" spans="1:9" x14ac:dyDescent="0.25">
      <c r="A12" t="s">
        <v>15</v>
      </c>
      <c r="B12">
        <v>1</v>
      </c>
      <c r="C12" s="4">
        <v>4.0440008799837415</v>
      </c>
      <c r="D12" s="4">
        <v>4.0440008799837415</v>
      </c>
      <c r="E12" s="4">
        <v>0.42142723875997512</v>
      </c>
      <c r="F12" s="4">
        <v>0.51791648432477522</v>
      </c>
    </row>
    <row r="13" spans="1:9" x14ac:dyDescent="0.25">
      <c r="A13" t="s">
        <v>16</v>
      </c>
      <c r="B13">
        <v>88</v>
      </c>
      <c r="C13" s="4">
        <v>844.44488800890508</v>
      </c>
      <c r="D13" s="4">
        <v>9.5959646364648297</v>
      </c>
      <c r="E13" s="4"/>
      <c r="F13" s="4"/>
    </row>
    <row r="14" spans="1:9" ht="15.75" thickBot="1" x14ac:dyDescent="0.3">
      <c r="A14" s="1" t="s">
        <v>17</v>
      </c>
      <c r="B14" s="1">
        <v>89</v>
      </c>
      <c r="C14" s="5">
        <v>848.48888888888882</v>
      </c>
      <c r="D14" s="5"/>
      <c r="E14" s="5"/>
      <c r="F14" s="5"/>
    </row>
    <row r="15" spans="1:9" ht="15.75" thickBot="1" x14ac:dyDescent="0.3"/>
    <row r="16" spans="1:9" x14ac:dyDescent="0.25">
      <c r="A16" s="2"/>
      <c r="B16" s="2" t="s">
        <v>20</v>
      </c>
      <c r="C16" s="2" t="s">
        <v>12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18</v>
      </c>
      <c r="B17" s="4">
        <v>-6.209430611543338</v>
      </c>
      <c r="C17" s="4">
        <v>1.1241714182257816</v>
      </c>
      <c r="D17" s="4">
        <v>-5.5235620750288632</v>
      </c>
      <c r="E17" s="4">
        <v>3.3282393569307806E-7</v>
      </c>
      <c r="F17" s="4">
        <v>-8.4434850773163177</v>
      </c>
      <c r="G17" s="4">
        <v>-3.9753761457703574</v>
      </c>
      <c r="H17" s="4">
        <v>-8.4434850773163177</v>
      </c>
      <c r="I17" s="4">
        <v>-3.9753761457703574</v>
      </c>
    </row>
    <row r="18" spans="1:9" ht="15.75" thickBot="1" x14ac:dyDescent="0.3">
      <c r="A18" s="1" t="s">
        <v>59</v>
      </c>
      <c r="B18" s="5">
        <v>23.217173462146814</v>
      </c>
      <c r="C18" s="5">
        <v>35.764161291852943</v>
      </c>
      <c r="D18" s="5">
        <v>0.64917427456730747</v>
      </c>
      <c r="E18" s="5">
        <v>0.517916484324768</v>
      </c>
      <c r="F18" s="5">
        <v>-47.856581797339857</v>
      </c>
      <c r="G18" s="5">
        <v>94.290928721633492</v>
      </c>
      <c r="H18" s="5">
        <v>-47.856581797339857</v>
      </c>
      <c r="I18" s="5">
        <v>94.290928721633492</v>
      </c>
    </row>
    <row r="22" spans="1:9" x14ac:dyDescent="0.25">
      <c r="A22" t="s">
        <v>27</v>
      </c>
    </row>
    <row r="23" spans="1:9" ht="15.75" thickBot="1" x14ac:dyDescent="0.3"/>
    <row r="24" spans="1:9" x14ac:dyDescent="0.25">
      <c r="A24" s="2" t="s">
        <v>28</v>
      </c>
      <c r="B24" s="2" t="s">
        <v>31</v>
      </c>
      <c r="C24" s="2" t="s">
        <v>29</v>
      </c>
      <c r="D24" s="2" t="s">
        <v>30</v>
      </c>
    </row>
    <row r="25" spans="1:9" x14ac:dyDescent="0.25">
      <c r="A25">
        <v>1</v>
      </c>
      <c r="B25" s="4">
        <v>-5.2807436730574651</v>
      </c>
      <c r="C25" s="4">
        <v>-1.7192563269425349</v>
      </c>
      <c r="D25" s="4">
        <v>-0.55814877907737814</v>
      </c>
    </row>
    <row r="26" spans="1:9" x14ac:dyDescent="0.25">
      <c r="A26">
        <v>2</v>
      </c>
      <c r="B26" s="4">
        <v>-5.7154481974551077</v>
      </c>
      <c r="C26" s="4">
        <v>-0.28455180254489232</v>
      </c>
      <c r="D26" s="4">
        <v>-9.2378453803420177E-2</v>
      </c>
    </row>
    <row r="27" spans="1:9" x14ac:dyDescent="0.25">
      <c r="A27">
        <v>3</v>
      </c>
      <c r="B27" s="4">
        <v>-5.6566407672065093</v>
      </c>
      <c r="C27" s="4">
        <v>-4.3433592327934907</v>
      </c>
      <c r="D27" s="4">
        <v>-1.410051901445859</v>
      </c>
    </row>
    <row r="28" spans="1:9" x14ac:dyDescent="0.25">
      <c r="A28">
        <v>4</v>
      </c>
      <c r="B28" s="4">
        <v>-5.5984523625394749</v>
      </c>
      <c r="C28" s="4">
        <v>4.5984523625394749</v>
      </c>
      <c r="D28" s="4">
        <v>1.4928667305597652</v>
      </c>
    </row>
    <row r="29" spans="1:9" x14ac:dyDescent="0.25">
      <c r="A29">
        <v>5</v>
      </c>
      <c r="B29" s="4">
        <v>-5.4355248294717775</v>
      </c>
      <c r="C29" s="4">
        <v>3.4355248294717775</v>
      </c>
      <c r="D29" s="4">
        <v>1.1153275744924931</v>
      </c>
    </row>
    <row r="30" spans="1:9" x14ac:dyDescent="0.25">
      <c r="A30">
        <v>6</v>
      </c>
      <c r="B30" s="4">
        <v>-5.4355248294717775</v>
      </c>
      <c r="C30" s="4">
        <v>-0.56447517052822249</v>
      </c>
      <c r="D30" s="4">
        <v>-0.1832543072911739</v>
      </c>
    </row>
    <row r="31" spans="1:9" x14ac:dyDescent="0.25">
      <c r="A31">
        <v>7</v>
      </c>
      <c r="B31" s="4">
        <v>-5.4838939408512504</v>
      </c>
      <c r="C31" s="4">
        <v>-0.51610605914874963</v>
      </c>
      <c r="D31" s="4">
        <v>-0.16755149437233396</v>
      </c>
    </row>
    <row r="32" spans="1:9" x14ac:dyDescent="0.25">
      <c r="A32">
        <v>8</v>
      </c>
      <c r="B32" s="4">
        <v>-5.5984523625394749</v>
      </c>
      <c r="C32" s="4">
        <v>0.59845236253947487</v>
      </c>
      <c r="D32" s="4">
        <v>0.19428484877609817</v>
      </c>
    </row>
    <row r="33" spans="1:4" x14ac:dyDescent="0.25">
      <c r="A33">
        <v>9</v>
      </c>
      <c r="B33" s="4">
        <v>-5.5265725685390201</v>
      </c>
      <c r="C33" s="4">
        <v>-4.4734274314609799</v>
      </c>
      <c r="D33" s="4">
        <v>-1.4522779529923189</v>
      </c>
    </row>
    <row r="34" spans="1:4" x14ac:dyDescent="0.25">
      <c r="A34">
        <v>10</v>
      </c>
      <c r="B34" s="4">
        <v>-5.5265725685390201</v>
      </c>
      <c r="C34" s="4">
        <v>1.5265725685390201</v>
      </c>
      <c r="D34" s="4">
        <v>0.49559486968318173</v>
      </c>
    </row>
    <row r="35" spans="1:4" x14ac:dyDescent="0.25">
      <c r="A35">
        <v>11</v>
      </c>
      <c r="B35" s="4">
        <v>-5.6431580880763423</v>
      </c>
      <c r="C35" s="4">
        <v>-3.3568419119236577</v>
      </c>
      <c r="D35" s="4">
        <v>-1.0897835217090266</v>
      </c>
    </row>
    <row r="36" spans="1:4" x14ac:dyDescent="0.25">
      <c r="A36">
        <v>12</v>
      </c>
      <c r="B36" s="4">
        <v>-5.5819394368907211</v>
      </c>
      <c r="C36" s="4">
        <v>0.58193943689072114</v>
      </c>
      <c r="D36" s="4">
        <v>0.18892400226042005</v>
      </c>
    </row>
    <row r="37" spans="1:4" x14ac:dyDescent="0.25">
      <c r="A37">
        <v>13</v>
      </c>
      <c r="B37" s="4">
        <v>-5.6141184714882915</v>
      </c>
      <c r="C37" s="4">
        <v>-1.3858815285117085</v>
      </c>
      <c r="D37" s="4">
        <v>-0.44992016080598984</v>
      </c>
    </row>
    <row r="38" spans="1:4" x14ac:dyDescent="0.25">
      <c r="A38">
        <v>14</v>
      </c>
      <c r="B38" s="4">
        <v>-5.5645091264837045</v>
      </c>
      <c r="C38" s="4">
        <v>2.5645091264837045</v>
      </c>
      <c r="D38" s="4">
        <v>0.83255627183014935</v>
      </c>
    </row>
    <row r="39" spans="1:4" x14ac:dyDescent="0.25">
      <c r="A39">
        <v>15</v>
      </c>
      <c r="B39" s="4">
        <v>-5.5265725685390201</v>
      </c>
      <c r="C39" s="4">
        <v>-4.4734274314609799</v>
      </c>
      <c r="D39" s="4">
        <v>-1.4522779529923189</v>
      </c>
    </row>
    <row r="40" spans="1:4" x14ac:dyDescent="0.25">
      <c r="A40">
        <v>16</v>
      </c>
      <c r="B40" s="4">
        <v>-5.4088384231934477</v>
      </c>
      <c r="C40" s="4">
        <v>4.4088384231934477</v>
      </c>
      <c r="D40" s="4">
        <v>1.4313094240176707</v>
      </c>
    </row>
    <row r="41" spans="1:4" x14ac:dyDescent="0.25">
      <c r="A41">
        <v>17</v>
      </c>
      <c r="B41" s="4">
        <v>-5.4604895321192473</v>
      </c>
      <c r="C41" s="4">
        <v>2.4604895321192473</v>
      </c>
      <c r="D41" s="4">
        <v>0.79878678168210671</v>
      </c>
    </row>
    <row r="42" spans="1:4" x14ac:dyDescent="0.25">
      <c r="A42">
        <v>18</v>
      </c>
      <c r="B42" s="4">
        <v>-5.6431580880763423</v>
      </c>
      <c r="C42" s="4">
        <v>0.64315808807634234</v>
      </c>
      <c r="D42" s="4">
        <v>0.20879836007464053</v>
      </c>
    </row>
    <row r="43" spans="1:4" x14ac:dyDescent="0.25">
      <c r="A43">
        <v>19</v>
      </c>
      <c r="B43" s="4">
        <v>-4.661619047400217</v>
      </c>
      <c r="C43" s="4">
        <v>-0.33838095259978296</v>
      </c>
      <c r="D43" s="4">
        <v>-0.109853843546694</v>
      </c>
    </row>
    <row r="44" spans="1:4" x14ac:dyDescent="0.25">
      <c r="A44">
        <v>20</v>
      </c>
      <c r="B44" s="4">
        <v>-5.3495352981304931</v>
      </c>
      <c r="C44" s="4">
        <v>4.3495352981304931</v>
      </c>
      <c r="D44" s="4">
        <v>1.4120569330826949</v>
      </c>
    </row>
    <row r="45" spans="1:4" x14ac:dyDescent="0.25">
      <c r="A45">
        <v>21</v>
      </c>
      <c r="B45" s="4">
        <v>-5.7047094493227553</v>
      </c>
      <c r="C45" s="4">
        <v>6.7047094493227553</v>
      </c>
      <c r="D45" s="4">
        <v>2.1766535533785696</v>
      </c>
    </row>
    <row r="46" spans="1:4" x14ac:dyDescent="0.25">
      <c r="A46">
        <v>22</v>
      </c>
      <c r="B46" s="4">
        <v>-5.5265725685390201</v>
      </c>
      <c r="C46" s="4">
        <v>-4.4734274314609799</v>
      </c>
      <c r="D46" s="4">
        <v>-1.4522779529923189</v>
      </c>
    </row>
    <row r="47" spans="1:4" x14ac:dyDescent="0.25">
      <c r="A47">
        <v>23</v>
      </c>
      <c r="B47" s="4">
        <v>-5.6141184714882915</v>
      </c>
      <c r="C47" s="4">
        <v>2.6141184714882915</v>
      </c>
      <c r="D47" s="4">
        <v>0.84866172097767723</v>
      </c>
    </row>
    <row r="48" spans="1:4" x14ac:dyDescent="0.25">
      <c r="A48">
        <v>24</v>
      </c>
      <c r="B48" s="4">
        <v>-5.7356107449689135</v>
      </c>
      <c r="C48" s="4">
        <v>-3.2643892550310865</v>
      </c>
      <c r="D48" s="4">
        <v>-1.0597691854181628</v>
      </c>
    </row>
    <row r="49" spans="1:4" x14ac:dyDescent="0.25">
      <c r="A49">
        <v>25</v>
      </c>
      <c r="B49" s="4">
        <v>-5.1541045450821192</v>
      </c>
      <c r="C49" s="4">
        <v>-0.84589545491788076</v>
      </c>
      <c r="D49" s="4">
        <v>-0.27461612790987816</v>
      </c>
    </row>
    <row r="50" spans="1:4" x14ac:dyDescent="0.25">
      <c r="A50">
        <v>26</v>
      </c>
      <c r="B50" s="4">
        <v>-5.7257394977486129</v>
      </c>
      <c r="C50" s="4">
        <v>3.7257394977486129</v>
      </c>
      <c r="D50" s="4">
        <v>1.2095444520055321</v>
      </c>
    </row>
    <row r="51" spans="1:4" x14ac:dyDescent="0.25">
      <c r="A51">
        <v>27</v>
      </c>
      <c r="B51" s="4">
        <v>-5.4355248294717775</v>
      </c>
      <c r="C51" s="4">
        <v>3.4355248294717775</v>
      </c>
      <c r="D51" s="4">
        <v>1.1153275744924931</v>
      </c>
    </row>
    <row r="52" spans="1:4" x14ac:dyDescent="0.25">
      <c r="A52">
        <v>28</v>
      </c>
      <c r="B52" s="4">
        <v>-5.4088384231934477</v>
      </c>
      <c r="C52" s="4">
        <v>-2.5911615768065523</v>
      </c>
      <c r="D52" s="4">
        <v>-0.8412088691037467</v>
      </c>
    </row>
    <row r="53" spans="1:4" x14ac:dyDescent="0.25">
      <c r="A53">
        <v>29</v>
      </c>
      <c r="B53" s="4">
        <v>-5.4088384231934477</v>
      </c>
      <c r="C53" s="4">
        <v>-3.5911615768065523</v>
      </c>
      <c r="D53" s="4">
        <v>-1.1658543395496634</v>
      </c>
    </row>
    <row r="54" spans="1:4" x14ac:dyDescent="0.25">
      <c r="A54">
        <v>30</v>
      </c>
      <c r="B54" s="4">
        <v>-5.5984523625394749</v>
      </c>
      <c r="C54" s="4">
        <v>3.5984523625394749</v>
      </c>
      <c r="D54" s="4">
        <v>1.1682212601138484</v>
      </c>
    </row>
    <row r="55" spans="1:4" x14ac:dyDescent="0.25">
      <c r="A55">
        <v>31</v>
      </c>
      <c r="B55" s="4">
        <v>-5.5819394368907211</v>
      </c>
      <c r="C55" s="4">
        <v>-2.4180605631092789</v>
      </c>
      <c r="D55" s="4">
        <v>-0.78501240907733028</v>
      </c>
    </row>
    <row r="56" spans="1:4" x14ac:dyDescent="0.25">
      <c r="A56">
        <v>32</v>
      </c>
      <c r="B56" s="4">
        <v>-5.7873001849588501</v>
      </c>
      <c r="C56" s="4">
        <v>-3.2126998150411499</v>
      </c>
      <c r="D56" s="4">
        <v>-1.0429884428555438</v>
      </c>
    </row>
    <row r="57" spans="1:4" x14ac:dyDescent="0.25">
      <c r="A57">
        <v>33</v>
      </c>
      <c r="B57" s="4">
        <v>-5.5984523625394749</v>
      </c>
      <c r="C57" s="4">
        <v>-1.4015476374605251</v>
      </c>
      <c r="D57" s="4">
        <v>-0.45500609211573539</v>
      </c>
    </row>
    <row r="58" spans="1:4" x14ac:dyDescent="0.25">
      <c r="A58">
        <v>34</v>
      </c>
      <c r="B58" s="4">
        <v>-5.3495352981304931</v>
      </c>
      <c r="C58" s="4">
        <v>3.3495352981304931</v>
      </c>
      <c r="D58" s="4">
        <v>1.0874114626367781</v>
      </c>
    </row>
    <row r="59" spans="1:4" x14ac:dyDescent="0.25">
      <c r="A59">
        <v>35</v>
      </c>
      <c r="B59" s="4">
        <v>-5.6817675783127282</v>
      </c>
      <c r="C59" s="4">
        <v>0.68176757831272816</v>
      </c>
      <c r="D59" s="4">
        <v>0.22133275619610904</v>
      </c>
    </row>
    <row r="60" spans="1:4" x14ac:dyDescent="0.25">
      <c r="A60">
        <v>36</v>
      </c>
      <c r="B60" s="4">
        <v>-5.7257394977486129</v>
      </c>
      <c r="C60" s="4">
        <v>2.7257394977486129</v>
      </c>
      <c r="D60" s="4">
        <v>0.88489898155961533</v>
      </c>
    </row>
    <row r="61" spans="1:4" x14ac:dyDescent="0.25">
      <c r="A61">
        <v>37</v>
      </c>
      <c r="B61" s="4">
        <v>-5.5460827983391434</v>
      </c>
      <c r="C61" s="4">
        <v>-0.45391720166085658</v>
      </c>
      <c r="D61" s="4">
        <v>-0.14736216347668285</v>
      </c>
    </row>
    <row r="62" spans="1:4" x14ac:dyDescent="0.25">
      <c r="A62">
        <v>38</v>
      </c>
      <c r="B62" s="4">
        <v>-5.5460827983391434</v>
      </c>
      <c r="C62" s="4">
        <v>-4.4539172016608566</v>
      </c>
      <c r="D62" s="4">
        <v>-1.44594404526035</v>
      </c>
    </row>
    <row r="63" spans="1:4" x14ac:dyDescent="0.25">
      <c r="A63">
        <v>39</v>
      </c>
      <c r="B63" s="4">
        <v>-5.380245845038095</v>
      </c>
      <c r="C63" s="4">
        <v>1.380245845038095</v>
      </c>
      <c r="D63" s="4">
        <v>0.44809056169341427</v>
      </c>
    </row>
    <row r="64" spans="1:4" x14ac:dyDescent="0.25">
      <c r="A64">
        <v>40</v>
      </c>
      <c r="B64" s="4">
        <v>-5.6141184714882915</v>
      </c>
      <c r="C64" s="4">
        <v>-1.3858815285117085</v>
      </c>
      <c r="D64" s="4">
        <v>-0.44992016080598984</v>
      </c>
    </row>
    <row r="65" spans="1:4" x14ac:dyDescent="0.25">
      <c r="A65">
        <v>41</v>
      </c>
      <c r="B65" s="4">
        <v>-5.5984523625394749</v>
      </c>
      <c r="C65" s="4">
        <v>3.5984523625394749</v>
      </c>
      <c r="D65" s="4">
        <v>1.1682212601138484</v>
      </c>
    </row>
    <row r="66" spans="1:4" x14ac:dyDescent="0.25">
      <c r="A66">
        <v>42</v>
      </c>
      <c r="B66" s="4">
        <v>-5.5460827983391434</v>
      </c>
      <c r="C66" s="4">
        <v>1.5460827983391434</v>
      </c>
      <c r="D66" s="4">
        <v>0.50192877741515063</v>
      </c>
    </row>
    <row r="67" spans="1:4" x14ac:dyDescent="0.25">
      <c r="A67">
        <v>43</v>
      </c>
      <c r="B67" s="4">
        <v>-5.6290012749896672</v>
      </c>
      <c r="C67" s="4">
        <v>-4.3709987250103328</v>
      </c>
      <c r="D67" s="4">
        <v>-1.4190249373994819</v>
      </c>
    </row>
    <row r="68" spans="1:4" x14ac:dyDescent="0.25">
      <c r="A68">
        <v>44</v>
      </c>
      <c r="B68" s="4">
        <v>-5.6817675783127282</v>
      </c>
      <c r="C68" s="4">
        <v>-4.3182324216872718</v>
      </c>
      <c r="D68" s="4">
        <v>-1.4018945960334748</v>
      </c>
    </row>
    <row r="69" spans="1:4" x14ac:dyDescent="0.25">
      <c r="A69">
        <v>45</v>
      </c>
      <c r="B69" s="4">
        <v>-5.4355248294717775</v>
      </c>
      <c r="C69" s="4">
        <v>-3.5644751705282225</v>
      </c>
      <c r="D69" s="4">
        <v>-1.1571907186289241</v>
      </c>
    </row>
    <row r="70" spans="1:4" x14ac:dyDescent="0.25">
      <c r="A70">
        <v>46</v>
      </c>
      <c r="B70" s="4">
        <v>-5.6694963449817841</v>
      </c>
      <c r="C70" s="4">
        <v>-4.3305036550182159</v>
      </c>
      <c r="D70" s="4">
        <v>-1.4058783963511507</v>
      </c>
    </row>
    <row r="71" spans="1:4" x14ac:dyDescent="0.25">
      <c r="A71">
        <v>47</v>
      </c>
      <c r="B71" s="4">
        <v>-5.6694963449817841</v>
      </c>
      <c r="C71" s="4">
        <v>-4.3305036550182159</v>
      </c>
      <c r="D71" s="4">
        <v>-1.4058783963511507</v>
      </c>
    </row>
    <row r="72" spans="1:4" x14ac:dyDescent="0.25">
      <c r="A72">
        <v>48</v>
      </c>
      <c r="B72" s="4">
        <v>-5.3495352981304931</v>
      </c>
      <c r="C72" s="4">
        <v>-1.6504647018695069</v>
      </c>
      <c r="D72" s="4">
        <v>-0.53581588959280579</v>
      </c>
    </row>
    <row r="73" spans="1:4" x14ac:dyDescent="0.25">
      <c r="A73">
        <v>49</v>
      </c>
      <c r="B73" s="4">
        <v>-5.7356107449689135</v>
      </c>
      <c r="C73" s="4">
        <v>6.7356107449689135</v>
      </c>
      <c r="D73" s="4">
        <v>2.1866855190410051</v>
      </c>
    </row>
    <row r="74" spans="1:4" x14ac:dyDescent="0.25">
      <c r="A74">
        <v>50</v>
      </c>
      <c r="B74" s="4">
        <v>-5.5460827983391434</v>
      </c>
      <c r="C74" s="4">
        <v>7.5460827983391434</v>
      </c>
      <c r="D74" s="4">
        <v>2.4498016000906513</v>
      </c>
    </row>
    <row r="75" spans="1:4" x14ac:dyDescent="0.25">
      <c r="A75">
        <v>51</v>
      </c>
      <c r="B75" s="4">
        <v>-5.5645091264837045</v>
      </c>
      <c r="C75" s="4">
        <v>-4.4354908735162955</v>
      </c>
      <c r="D75" s="4">
        <v>-1.439962021291268</v>
      </c>
    </row>
    <row r="76" spans="1:4" x14ac:dyDescent="0.25">
      <c r="A76">
        <v>52</v>
      </c>
      <c r="B76" s="4">
        <v>-4.661619047400217</v>
      </c>
      <c r="C76" s="4">
        <v>2.661619047400217</v>
      </c>
      <c r="D76" s="4">
        <v>0.8640825677910563</v>
      </c>
    </row>
    <row r="77" spans="1:4" x14ac:dyDescent="0.25">
      <c r="A77">
        <v>53</v>
      </c>
      <c r="B77" s="4">
        <v>-5.5058799005691919</v>
      </c>
      <c r="C77" s="4">
        <v>-0.49412009943080815</v>
      </c>
      <c r="D77" s="4">
        <v>-0.16041385213649789</v>
      </c>
    </row>
    <row r="78" spans="1:4" x14ac:dyDescent="0.25">
      <c r="A78">
        <v>54</v>
      </c>
      <c r="B78" s="4">
        <v>-5.3495352981304931</v>
      </c>
      <c r="C78" s="4">
        <v>-1.6504647018695069</v>
      </c>
      <c r="D78" s="4">
        <v>-0.53581588959280579</v>
      </c>
    </row>
    <row r="79" spans="1:4" x14ac:dyDescent="0.25">
      <c r="A79">
        <v>55</v>
      </c>
      <c r="B79" s="4">
        <v>-5.6694963449817841</v>
      </c>
      <c r="C79" s="4">
        <v>2.6694963449817841</v>
      </c>
      <c r="D79" s="4">
        <v>0.86663989677026665</v>
      </c>
    </row>
    <row r="80" spans="1:4" x14ac:dyDescent="0.25">
      <c r="A80">
        <v>56</v>
      </c>
      <c r="B80" s="4">
        <v>-5.7154481974551077</v>
      </c>
      <c r="C80" s="4">
        <v>-1.2845518025448923</v>
      </c>
      <c r="D80" s="4">
        <v>-0.41702392424933693</v>
      </c>
    </row>
    <row r="81" spans="1:4" x14ac:dyDescent="0.25">
      <c r="A81">
        <v>57</v>
      </c>
      <c r="B81" s="4">
        <v>-5.5058799005691919</v>
      </c>
      <c r="C81" s="4">
        <v>-0.49412009943080815</v>
      </c>
      <c r="D81" s="4">
        <v>-0.16041385213649789</v>
      </c>
    </row>
    <row r="82" spans="1:4" x14ac:dyDescent="0.25">
      <c r="A82">
        <v>58</v>
      </c>
      <c r="B82" s="4">
        <v>-5.380245845038095</v>
      </c>
      <c r="C82" s="4">
        <v>-3.619754154961905</v>
      </c>
      <c r="D82" s="4">
        <v>-1.1751367905361696</v>
      </c>
    </row>
    <row r="83" spans="1:4" x14ac:dyDescent="0.25">
      <c r="A83">
        <v>59</v>
      </c>
      <c r="B83" s="4">
        <v>-5.6431580880763423</v>
      </c>
      <c r="C83" s="4">
        <v>0.64315808807634234</v>
      </c>
      <c r="D83" s="4">
        <v>0.20879836007464053</v>
      </c>
    </row>
    <row r="84" spans="1:4" x14ac:dyDescent="0.25">
      <c r="A84">
        <v>60</v>
      </c>
      <c r="B84" s="4">
        <v>-5.8159191969306798</v>
      </c>
      <c r="C84" s="4">
        <v>4.8159191969306798</v>
      </c>
      <c r="D84" s="4">
        <v>1.5634663533170823</v>
      </c>
    </row>
    <row r="85" spans="1:4" x14ac:dyDescent="0.25">
      <c r="A85">
        <v>61</v>
      </c>
      <c r="B85" s="4">
        <v>-5.1999882871021725</v>
      </c>
      <c r="C85" s="4">
        <v>0.19998828710217254</v>
      </c>
      <c r="D85" s="4">
        <v>6.4925291549957867E-2</v>
      </c>
    </row>
    <row r="86" spans="1:4" x14ac:dyDescent="0.25">
      <c r="A86">
        <v>62</v>
      </c>
      <c r="B86" s="4">
        <v>-5.6141184714882915</v>
      </c>
      <c r="C86" s="4">
        <v>1.6141184714882915</v>
      </c>
      <c r="D86" s="4">
        <v>0.52401625053176049</v>
      </c>
    </row>
    <row r="87" spans="1:4" x14ac:dyDescent="0.25">
      <c r="A87">
        <v>63</v>
      </c>
      <c r="B87" s="4">
        <v>-5.5819394368907211</v>
      </c>
      <c r="C87" s="4">
        <v>2.5819394368907211</v>
      </c>
      <c r="D87" s="4">
        <v>0.83821494315225364</v>
      </c>
    </row>
    <row r="88" spans="1:4" x14ac:dyDescent="0.25">
      <c r="A88">
        <v>64</v>
      </c>
      <c r="B88" s="4">
        <v>-5.7356107449689135</v>
      </c>
      <c r="C88" s="4">
        <v>3.7356107449689135</v>
      </c>
      <c r="D88" s="4">
        <v>1.2127491077032546</v>
      </c>
    </row>
    <row r="89" spans="1:4" x14ac:dyDescent="0.25">
      <c r="A89">
        <v>65</v>
      </c>
      <c r="B89" s="4">
        <v>-5.3164624014607682</v>
      </c>
      <c r="C89" s="4">
        <v>-1.6835375985392318</v>
      </c>
      <c r="D89" s="4">
        <v>-0.54655285569115786</v>
      </c>
    </row>
    <row r="90" spans="1:4" x14ac:dyDescent="0.25">
      <c r="A90">
        <v>66</v>
      </c>
      <c r="B90" s="4">
        <v>-5.0485719384359973</v>
      </c>
      <c r="C90" s="4">
        <v>2.0485719384359973</v>
      </c>
      <c r="D90" s="4">
        <v>0.66505960069585801</v>
      </c>
    </row>
    <row r="91" spans="1:4" x14ac:dyDescent="0.25">
      <c r="A91">
        <v>67</v>
      </c>
      <c r="B91" s="4">
        <v>-5.7257394977486129</v>
      </c>
      <c r="C91" s="4">
        <v>-3.2742605022513871</v>
      </c>
      <c r="D91" s="4">
        <v>-1.0629738411158853</v>
      </c>
    </row>
    <row r="92" spans="1:4" x14ac:dyDescent="0.25">
      <c r="A92">
        <v>68</v>
      </c>
      <c r="B92" s="4">
        <v>-5.4838939408512504</v>
      </c>
      <c r="C92" s="4">
        <v>-4.5161060591487496</v>
      </c>
      <c r="D92" s="4">
        <v>-1.4661333761560011</v>
      </c>
    </row>
    <row r="93" spans="1:4" x14ac:dyDescent="0.25">
      <c r="A93">
        <v>69</v>
      </c>
      <c r="B93" s="4">
        <v>-5.7629465065020531</v>
      </c>
      <c r="C93" s="4">
        <v>-2.2370534934979469</v>
      </c>
      <c r="D93" s="4">
        <v>-0.72624928380932263</v>
      </c>
    </row>
    <row r="94" spans="1:4" x14ac:dyDescent="0.25">
      <c r="A94">
        <v>70</v>
      </c>
      <c r="B94" s="4">
        <v>-5.6694963449817841</v>
      </c>
      <c r="C94" s="4">
        <v>4.6694963449817841</v>
      </c>
      <c r="D94" s="4">
        <v>1.5159308376621001</v>
      </c>
    </row>
    <row r="95" spans="1:4" x14ac:dyDescent="0.25">
      <c r="A95">
        <v>71</v>
      </c>
      <c r="B95" s="4">
        <v>-5.7356107449689135</v>
      </c>
      <c r="C95" s="4">
        <v>3.7356107449689135</v>
      </c>
      <c r="D95" s="4">
        <v>1.2127491077032546</v>
      </c>
    </row>
    <row r="96" spans="1:4" x14ac:dyDescent="0.25">
      <c r="A96">
        <v>72</v>
      </c>
      <c r="B96" s="4">
        <v>-5.6141184714882915</v>
      </c>
      <c r="C96" s="4">
        <v>-1.3858815285117085</v>
      </c>
      <c r="D96" s="4">
        <v>-0.44992016080598984</v>
      </c>
    </row>
    <row r="97" spans="1:4" x14ac:dyDescent="0.25">
      <c r="A97">
        <v>73</v>
      </c>
      <c r="B97" s="4">
        <v>-5.6566407672065093</v>
      </c>
      <c r="C97" s="4">
        <v>2.6566407672065093</v>
      </c>
      <c r="D97" s="4">
        <v>0.8624663916755585</v>
      </c>
    </row>
    <row r="98" spans="1:4" x14ac:dyDescent="0.25">
      <c r="A98">
        <v>74</v>
      </c>
      <c r="B98" s="4">
        <v>-5.5819394368907211</v>
      </c>
      <c r="C98" s="4">
        <v>0.58193943689072114</v>
      </c>
      <c r="D98" s="4">
        <v>0.18892400226042005</v>
      </c>
    </row>
    <row r="99" spans="1:4" x14ac:dyDescent="0.25">
      <c r="A99">
        <v>75</v>
      </c>
      <c r="B99" s="4">
        <v>-5.4355248294717775</v>
      </c>
      <c r="C99" s="4">
        <v>1.4355248294717775</v>
      </c>
      <c r="D99" s="4">
        <v>0.46603663360065967</v>
      </c>
    </row>
    <row r="100" spans="1:4" x14ac:dyDescent="0.25">
      <c r="A100">
        <v>76</v>
      </c>
      <c r="B100" s="4">
        <v>-5.3495352981304931</v>
      </c>
      <c r="C100" s="4">
        <v>1.3495352981304931</v>
      </c>
      <c r="D100" s="4">
        <v>0.43812052174494448</v>
      </c>
    </row>
    <row r="101" spans="1:4" x14ac:dyDescent="0.25">
      <c r="A101">
        <v>77</v>
      </c>
      <c r="B101" s="4">
        <v>-4.9195876414240711</v>
      </c>
      <c r="C101" s="4">
        <v>-8.0412358575928877E-2</v>
      </c>
      <c r="D101" s="4">
        <v>-2.6105507979548179E-2</v>
      </c>
    </row>
    <row r="102" spans="1:4" x14ac:dyDescent="0.25">
      <c r="A102">
        <v>78</v>
      </c>
      <c r="B102" s="4">
        <v>-5.6566407672065093</v>
      </c>
      <c r="C102" s="4">
        <v>-1.3433592327934907</v>
      </c>
      <c r="D102" s="4">
        <v>-0.43611549010810863</v>
      </c>
    </row>
    <row r="103" spans="1:4" x14ac:dyDescent="0.25">
      <c r="A103">
        <v>79</v>
      </c>
      <c r="B103" s="4">
        <v>-5.2420483839538878</v>
      </c>
      <c r="C103" s="4">
        <v>-2.7579516160461122</v>
      </c>
      <c r="D103" s="4">
        <v>-0.89535649985836652</v>
      </c>
    </row>
    <row r="104" spans="1:4" x14ac:dyDescent="0.25">
      <c r="A104">
        <v>80</v>
      </c>
      <c r="B104" s="4">
        <v>-5.4604895321192473</v>
      </c>
      <c r="C104" s="4">
        <v>-4.5395104678807527</v>
      </c>
      <c r="D104" s="4">
        <v>-1.4737315114393108</v>
      </c>
    </row>
    <row r="105" spans="1:4" x14ac:dyDescent="0.25">
      <c r="A105">
        <v>81</v>
      </c>
      <c r="B105" s="4">
        <v>-5.3495352981304931</v>
      </c>
      <c r="C105" s="4">
        <v>0.34953529813049311</v>
      </c>
      <c r="D105" s="4">
        <v>0.11347505129902771</v>
      </c>
    </row>
    <row r="106" spans="1:4" x14ac:dyDescent="0.25">
      <c r="A106">
        <v>82</v>
      </c>
      <c r="B106" s="4">
        <v>-5.5265725685390201</v>
      </c>
      <c r="C106" s="4">
        <v>-0.47342743146097988</v>
      </c>
      <c r="D106" s="4">
        <v>-0.15369607120865184</v>
      </c>
    </row>
    <row r="107" spans="1:4" x14ac:dyDescent="0.25">
      <c r="A107">
        <v>83</v>
      </c>
      <c r="B107" s="4">
        <v>-5.2420483839538878</v>
      </c>
      <c r="C107" s="4">
        <v>0.24204838395388784</v>
      </c>
      <c r="D107" s="4">
        <v>7.8579911479383813E-2</v>
      </c>
    </row>
    <row r="108" spans="1:4" x14ac:dyDescent="0.25">
      <c r="A108">
        <v>84</v>
      </c>
      <c r="B108" s="4">
        <v>-5.6694963449817841</v>
      </c>
      <c r="C108" s="4">
        <v>0.66949634498178412</v>
      </c>
      <c r="D108" s="4">
        <v>0.21734895587843309</v>
      </c>
    </row>
    <row r="109" spans="1:4" x14ac:dyDescent="0.25">
      <c r="A109">
        <v>85</v>
      </c>
      <c r="B109" s="4">
        <v>-5.7047094493227553</v>
      </c>
      <c r="C109" s="4">
        <v>1.7047094493227553</v>
      </c>
      <c r="D109" s="4">
        <v>0.55342620114898555</v>
      </c>
    </row>
    <row r="110" spans="1:4" x14ac:dyDescent="0.25">
      <c r="A110">
        <v>86</v>
      </c>
      <c r="B110" s="4">
        <v>-5.5819394368907211</v>
      </c>
      <c r="C110" s="4">
        <v>-2.4180605631092789</v>
      </c>
      <c r="D110" s="4">
        <v>-0.78501240907733028</v>
      </c>
    </row>
    <row r="111" spans="1:4" x14ac:dyDescent="0.25">
      <c r="A111">
        <v>87</v>
      </c>
      <c r="B111" s="4">
        <v>-5.5460827983391434</v>
      </c>
      <c r="C111" s="4">
        <v>-0.45391720166085658</v>
      </c>
      <c r="D111" s="4">
        <v>-0.14736216347668285</v>
      </c>
    </row>
    <row r="112" spans="1:4" x14ac:dyDescent="0.25">
      <c r="A112">
        <v>88</v>
      </c>
      <c r="B112" s="4">
        <v>-5.380245845038095</v>
      </c>
      <c r="C112" s="4">
        <v>-1.619754154961905</v>
      </c>
      <c r="D112" s="4">
        <v>-0.52584584964433601</v>
      </c>
    </row>
    <row r="113" spans="1:4" x14ac:dyDescent="0.25">
      <c r="A113">
        <v>89</v>
      </c>
      <c r="B113" s="4">
        <v>-5.1541045450821192</v>
      </c>
      <c r="C113" s="4">
        <v>4.1541045450821192</v>
      </c>
      <c r="D113" s="4">
        <v>1.3486112243197057</v>
      </c>
    </row>
    <row r="114" spans="1:4" ht="15.75" thickBot="1" x14ac:dyDescent="0.3">
      <c r="A114" s="1">
        <v>90</v>
      </c>
      <c r="B114" s="5">
        <v>-5.5460827983391434</v>
      </c>
      <c r="C114" s="5">
        <v>-4.4539172016608566</v>
      </c>
      <c r="D114" s="5">
        <v>-1.44594404526035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6986-C554-411E-BDCA-121865F51768}">
  <dimension ref="A1:H91"/>
  <sheetViews>
    <sheetView workbookViewId="0">
      <selection activeCell="P18" sqref="P18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2.28515625" bestFit="1" customWidth="1"/>
    <col min="4" max="4" width="26.28515625" customWidth="1"/>
    <col min="5" max="5" width="10.5703125" bestFit="1" customWidth="1"/>
    <col min="6" max="6" width="25.7109375" customWidth="1"/>
    <col min="7" max="7" width="32" bestFit="1" customWidth="1"/>
  </cols>
  <sheetData>
    <row r="1" spans="1:8" x14ac:dyDescent="0.25">
      <c r="A1" t="s">
        <v>0</v>
      </c>
      <c r="B1" t="s">
        <v>60</v>
      </c>
      <c r="C1" t="s">
        <v>2</v>
      </c>
      <c r="D1" t="s">
        <v>61</v>
      </c>
      <c r="E1" t="s">
        <v>29</v>
      </c>
      <c r="F1" t="s">
        <v>37</v>
      </c>
      <c r="G1" s="8" t="s">
        <v>20</v>
      </c>
      <c r="H1" s="8" t="s">
        <v>39</v>
      </c>
    </row>
    <row r="2" spans="1:8" x14ac:dyDescent="0.25">
      <c r="A2">
        <v>25</v>
      </c>
      <c r="B2" s="4">
        <f>LN(A2)</f>
        <v>3.2188758248682006</v>
      </c>
      <c r="C2">
        <v>-7</v>
      </c>
      <c r="D2" s="4">
        <f>B2*$H$2+$H$3</f>
        <v>-5.3858727997321525</v>
      </c>
      <c r="E2" s="4">
        <f>ABS(D2-C2)</f>
        <v>1.6141272002678475</v>
      </c>
      <c r="F2" s="4">
        <f>ABS(E2/C2)</f>
        <v>0.23058960003826393</v>
      </c>
      <c r="G2" s="8" t="s">
        <v>55</v>
      </c>
      <c r="H2" s="9">
        <v>-0.38721751183076569</v>
      </c>
    </row>
    <row r="3" spans="1:8" x14ac:dyDescent="0.25">
      <c r="A3">
        <v>47</v>
      </c>
      <c r="B3" s="4">
        <f t="shared" ref="B3:B66" si="0">LN(A3)</f>
        <v>3.8501476017100584</v>
      </c>
      <c r="C3">
        <v>-6</v>
      </c>
      <c r="D3" s="4">
        <f t="shared" ref="D3:D66" si="1">B3*$H$2+$H$3</f>
        <v>-5.6303122864498434</v>
      </c>
      <c r="E3" s="4">
        <f t="shared" ref="E3:E66" si="2">ABS(D3-C3)</f>
        <v>0.36968771355015662</v>
      </c>
      <c r="F3" s="4">
        <f t="shared" ref="F3:F66" si="3">ABS(E3/C3)</f>
        <v>6.16146189250261E-2</v>
      </c>
      <c r="G3" s="8" t="s">
        <v>32</v>
      </c>
      <c r="H3" s="9">
        <v>-4.1394677119344845</v>
      </c>
    </row>
    <row r="4" spans="1:8" x14ac:dyDescent="0.25">
      <c r="A4">
        <v>42</v>
      </c>
      <c r="B4" s="4">
        <f t="shared" si="0"/>
        <v>3.7376696182833684</v>
      </c>
      <c r="C4">
        <v>-10</v>
      </c>
      <c r="D4" s="4">
        <f t="shared" si="1"/>
        <v>-5.5867588415716183</v>
      </c>
      <c r="E4" s="4">
        <f t="shared" si="2"/>
        <v>4.4132411584283817</v>
      </c>
      <c r="F4" s="4">
        <f t="shared" si="3"/>
        <v>0.44132411584283815</v>
      </c>
      <c r="G4" s="8" t="s">
        <v>36</v>
      </c>
      <c r="H4" s="10">
        <f>SUM(Таблица5[Нормированные остатки])/COUNT(Таблица5[X])</f>
        <v>0.92767294010191392</v>
      </c>
    </row>
    <row r="5" spans="1:8" x14ac:dyDescent="0.25">
      <c r="A5">
        <v>38</v>
      </c>
      <c r="B5" s="4">
        <f t="shared" si="0"/>
        <v>3.6375861597263857</v>
      </c>
      <c r="C5">
        <v>-1</v>
      </c>
      <c r="D5" s="4">
        <f t="shared" si="1"/>
        <v>-5.5480047737737657</v>
      </c>
      <c r="E5" s="4">
        <f t="shared" si="2"/>
        <v>4.5480047737737657</v>
      </c>
      <c r="F5" s="4">
        <f t="shared" si="3"/>
        <v>4.5480047737737657</v>
      </c>
    </row>
    <row r="6" spans="1:8" x14ac:dyDescent="0.25">
      <c r="A6">
        <v>30</v>
      </c>
      <c r="B6" s="4">
        <f t="shared" si="0"/>
        <v>3.4011973816621555</v>
      </c>
      <c r="C6">
        <v>-2</v>
      </c>
      <c r="D6" s="4">
        <f t="shared" si="1"/>
        <v>-5.4564708993070195</v>
      </c>
      <c r="E6" s="4">
        <f t="shared" si="2"/>
        <v>3.4564708993070195</v>
      </c>
      <c r="F6" s="4">
        <f t="shared" si="3"/>
        <v>1.7282354496535097</v>
      </c>
    </row>
    <row r="7" spans="1:8" x14ac:dyDescent="0.25">
      <c r="A7">
        <v>30</v>
      </c>
      <c r="B7" s="4">
        <f t="shared" si="0"/>
        <v>3.4011973816621555</v>
      </c>
      <c r="C7">
        <v>-6</v>
      </c>
      <c r="D7" s="4">
        <f t="shared" si="1"/>
        <v>-5.4564708993070195</v>
      </c>
      <c r="E7" s="4">
        <f t="shared" si="2"/>
        <v>0.54352910069298055</v>
      </c>
      <c r="F7" s="4">
        <f t="shared" si="3"/>
        <v>9.0588183448830087E-2</v>
      </c>
    </row>
    <row r="8" spans="1:8" x14ac:dyDescent="0.25">
      <c r="A8">
        <v>32</v>
      </c>
      <c r="B8" s="4">
        <f t="shared" si="0"/>
        <v>3.4657359027997265</v>
      </c>
      <c r="C8">
        <v>-6</v>
      </c>
      <c r="D8" s="4">
        <f t="shared" si="1"/>
        <v>-5.4814613448791469</v>
      </c>
      <c r="E8" s="4">
        <f t="shared" si="2"/>
        <v>0.51853865512085306</v>
      </c>
      <c r="F8" s="4">
        <f t="shared" si="3"/>
        <v>8.6423109186808844E-2</v>
      </c>
    </row>
    <row r="9" spans="1:8" x14ac:dyDescent="0.25">
      <c r="A9">
        <v>38</v>
      </c>
      <c r="B9" s="4">
        <f t="shared" si="0"/>
        <v>3.6375861597263857</v>
      </c>
      <c r="C9">
        <v>-5</v>
      </c>
      <c r="D9" s="4">
        <f t="shared" si="1"/>
        <v>-5.5480047737737657</v>
      </c>
      <c r="E9" s="4">
        <f t="shared" si="2"/>
        <v>0.54800477377376566</v>
      </c>
      <c r="F9" s="4">
        <f t="shared" si="3"/>
        <v>0.10960095475475314</v>
      </c>
    </row>
    <row r="10" spans="1:8" x14ac:dyDescent="0.25">
      <c r="A10">
        <v>34</v>
      </c>
      <c r="B10" s="4">
        <f t="shared" si="0"/>
        <v>3.5263605246161616</v>
      </c>
      <c r="C10">
        <v>-10</v>
      </c>
      <c r="D10" s="4">
        <f t="shared" si="1"/>
        <v>-5.5049362600945884</v>
      </c>
      <c r="E10" s="4">
        <f t="shared" si="2"/>
        <v>4.4950637399054116</v>
      </c>
      <c r="F10" s="4">
        <f t="shared" si="3"/>
        <v>0.44950637399054116</v>
      </c>
    </row>
    <row r="11" spans="1:8" x14ac:dyDescent="0.25">
      <c r="A11">
        <v>34</v>
      </c>
      <c r="B11" s="4">
        <f t="shared" si="0"/>
        <v>3.5263605246161616</v>
      </c>
      <c r="C11">
        <v>-4</v>
      </c>
      <c r="D11" s="4">
        <f t="shared" si="1"/>
        <v>-5.5049362600945884</v>
      </c>
      <c r="E11" s="4">
        <f t="shared" si="2"/>
        <v>1.5049362600945884</v>
      </c>
      <c r="F11" s="4">
        <f t="shared" si="3"/>
        <v>0.37623406502364709</v>
      </c>
    </row>
    <row r="12" spans="1:8" x14ac:dyDescent="0.25">
      <c r="A12">
        <v>41</v>
      </c>
      <c r="B12" s="4">
        <f t="shared" si="0"/>
        <v>3.713572066704308</v>
      </c>
      <c r="C12">
        <v>-9</v>
      </c>
      <c r="D12" s="4">
        <f t="shared" si="1"/>
        <v>-5.5774278476079608</v>
      </c>
      <c r="E12" s="4">
        <f t="shared" si="2"/>
        <v>3.4225721523920392</v>
      </c>
      <c r="F12" s="4">
        <f t="shared" si="3"/>
        <v>0.38028579471022655</v>
      </c>
    </row>
    <row r="13" spans="1:8" x14ac:dyDescent="0.25">
      <c r="A13">
        <v>37</v>
      </c>
      <c r="B13" s="4">
        <f t="shared" si="0"/>
        <v>3.6109179126442243</v>
      </c>
      <c r="C13">
        <v>-5</v>
      </c>
      <c r="D13" s="4">
        <f t="shared" si="1"/>
        <v>-5.5376783614937235</v>
      </c>
      <c r="E13" s="4">
        <f t="shared" si="2"/>
        <v>0.5376783614937235</v>
      </c>
      <c r="F13" s="4">
        <f t="shared" si="3"/>
        <v>0.10753567229874469</v>
      </c>
    </row>
    <row r="14" spans="1:8" x14ac:dyDescent="0.25">
      <c r="A14">
        <v>39</v>
      </c>
      <c r="B14" s="4">
        <f t="shared" si="0"/>
        <v>3.6635616461296463</v>
      </c>
      <c r="C14">
        <v>-7</v>
      </c>
      <c r="D14" s="4">
        <f t="shared" si="1"/>
        <v>-5.5580629369874304</v>
      </c>
      <c r="E14" s="4">
        <f t="shared" si="2"/>
        <v>1.4419370630125696</v>
      </c>
      <c r="F14" s="4">
        <f t="shared" si="3"/>
        <v>0.20599100900179565</v>
      </c>
    </row>
    <row r="15" spans="1:8" x14ac:dyDescent="0.25">
      <c r="A15">
        <v>36</v>
      </c>
      <c r="B15" s="4">
        <f t="shared" si="0"/>
        <v>3.5835189384561099</v>
      </c>
      <c r="C15">
        <v>-3</v>
      </c>
      <c r="D15" s="4">
        <f t="shared" si="1"/>
        <v>-5.5270689988818864</v>
      </c>
      <c r="E15" s="4">
        <f t="shared" si="2"/>
        <v>2.5270689988818864</v>
      </c>
      <c r="F15" s="4">
        <f t="shared" si="3"/>
        <v>0.84235633296062884</v>
      </c>
    </row>
    <row r="16" spans="1:8" x14ac:dyDescent="0.25">
      <c r="A16">
        <v>34</v>
      </c>
      <c r="B16" s="4">
        <f t="shared" si="0"/>
        <v>3.5263605246161616</v>
      </c>
      <c r="C16">
        <v>-10</v>
      </c>
      <c r="D16" s="4">
        <f t="shared" si="1"/>
        <v>-5.5049362600945884</v>
      </c>
      <c r="E16" s="4">
        <f t="shared" si="2"/>
        <v>4.4950637399054116</v>
      </c>
      <c r="F16" s="4">
        <f t="shared" si="3"/>
        <v>0.44950637399054116</v>
      </c>
    </row>
    <row r="17" spans="1:8" x14ac:dyDescent="0.25">
      <c r="A17">
        <v>29</v>
      </c>
      <c r="B17" s="4">
        <f t="shared" si="0"/>
        <v>3.3672958299864741</v>
      </c>
      <c r="C17">
        <v>-1</v>
      </c>
      <c r="D17" s="4">
        <f t="shared" si="1"/>
        <v>-5.4433436248199598</v>
      </c>
      <c r="E17" s="4">
        <f t="shared" si="2"/>
        <v>4.4433436248199598</v>
      </c>
      <c r="F17" s="4">
        <f t="shared" si="3"/>
        <v>4.4433436248199598</v>
      </c>
    </row>
    <row r="18" spans="1:8" x14ac:dyDescent="0.25">
      <c r="A18">
        <v>31</v>
      </c>
      <c r="B18" s="4">
        <f t="shared" si="0"/>
        <v>3.4339872044851463</v>
      </c>
      <c r="C18">
        <v>-3</v>
      </c>
      <c r="D18" s="4">
        <f t="shared" si="1"/>
        <v>-5.4691676929139099</v>
      </c>
      <c r="E18" s="4">
        <f t="shared" si="2"/>
        <v>2.4691676929139099</v>
      </c>
      <c r="F18" s="4">
        <f t="shared" si="3"/>
        <v>0.82305589763796994</v>
      </c>
    </row>
    <row r="19" spans="1:8" x14ac:dyDescent="0.25">
      <c r="A19">
        <v>41</v>
      </c>
      <c r="B19" s="4">
        <f t="shared" si="0"/>
        <v>3.713572066704308</v>
      </c>
      <c r="C19">
        <v>-5</v>
      </c>
      <c r="D19" s="4">
        <f t="shared" si="1"/>
        <v>-5.5774278476079608</v>
      </c>
      <c r="E19" s="4">
        <f t="shared" si="2"/>
        <v>0.57742784760796084</v>
      </c>
      <c r="F19" s="4">
        <f t="shared" si="3"/>
        <v>0.11548556952159217</v>
      </c>
    </row>
    <row r="20" spans="1:8" x14ac:dyDescent="0.25">
      <c r="A20">
        <v>15</v>
      </c>
      <c r="B20" s="4">
        <f t="shared" si="0"/>
        <v>2.7080502011022101</v>
      </c>
      <c r="C20">
        <v>-5</v>
      </c>
      <c r="D20" s="4">
        <f t="shared" si="1"/>
        <v>-5.188072172718087</v>
      </c>
      <c r="E20" s="4">
        <f t="shared" si="2"/>
        <v>0.18807217271808696</v>
      </c>
      <c r="F20" s="4">
        <f t="shared" si="3"/>
        <v>3.7614434543617389E-2</v>
      </c>
    </row>
    <row r="21" spans="1:8" x14ac:dyDescent="0.25">
      <c r="A21">
        <v>27</v>
      </c>
      <c r="B21" s="4">
        <f t="shared" si="0"/>
        <v>3.2958368660043291</v>
      </c>
      <c r="C21">
        <v>-1</v>
      </c>
      <c r="D21" s="4">
        <f t="shared" si="1"/>
        <v>-5.4156734625887895</v>
      </c>
      <c r="E21" s="4">
        <f t="shared" si="2"/>
        <v>4.4156734625887895</v>
      </c>
      <c r="F21" s="4">
        <f t="shared" si="3"/>
        <v>4.4156734625887895</v>
      </c>
    </row>
    <row r="22" spans="1:8" x14ac:dyDescent="0.25">
      <c r="A22">
        <v>46</v>
      </c>
      <c r="B22" s="4">
        <f t="shared" si="0"/>
        <v>3.8286413964890951</v>
      </c>
      <c r="C22">
        <v>1</v>
      </c>
      <c r="D22" s="4">
        <f t="shared" si="1"/>
        <v>-5.62198470717526</v>
      </c>
      <c r="E22" s="4">
        <f t="shared" si="2"/>
        <v>6.62198470717526</v>
      </c>
      <c r="F22" s="4">
        <f t="shared" si="3"/>
        <v>6.62198470717526</v>
      </c>
    </row>
    <row r="23" spans="1:8" x14ac:dyDescent="0.25">
      <c r="A23">
        <v>34</v>
      </c>
      <c r="B23" s="4">
        <f t="shared" si="0"/>
        <v>3.5263605246161616</v>
      </c>
      <c r="C23">
        <v>-10</v>
      </c>
      <c r="D23" s="4">
        <f t="shared" si="1"/>
        <v>-5.5049362600945884</v>
      </c>
      <c r="E23" s="4">
        <f t="shared" si="2"/>
        <v>4.4950637399054116</v>
      </c>
      <c r="F23" s="4">
        <f t="shared" si="3"/>
        <v>0.44950637399054116</v>
      </c>
    </row>
    <row r="24" spans="1:8" x14ac:dyDescent="0.25">
      <c r="A24">
        <v>39</v>
      </c>
      <c r="B24" s="4">
        <f t="shared" si="0"/>
        <v>3.6635616461296463</v>
      </c>
      <c r="C24">
        <v>-3</v>
      </c>
      <c r="D24" s="4">
        <f t="shared" si="1"/>
        <v>-5.5580629369874304</v>
      </c>
      <c r="E24" s="4">
        <f t="shared" si="2"/>
        <v>2.5580629369874304</v>
      </c>
      <c r="F24" s="4">
        <f t="shared" si="3"/>
        <v>0.85268764566247679</v>
      </c>
    </row>
    <row r="25" spans="1:8" x14ac:dyDescent="0.25">
      <c r="A25">
        <v>49</v>
      </c>
      <c r="B25" s="4">
        <f t="shared" si="0"/>
        <v>3.8918202981106265</v>
      </c>
      <c r="C25">
        <v>-9</v>
      </c>
      <c r="D25" s="4">
        <f t="shared" si="1"/>
        <v>-5.6464486842613502</v>
      </c>
      <c r="E25" s="4">
        <f t="shared" si="2"/>
        <v>3.3535513157386498</v>
      </c>
      <c r="F25" s="4">
        <f t="shared" si="3"/>
        <v>0.37261681285984999</v>
      </c>
    </row>
    <row r="26" spans="1:8" x14ac:dyDescent="0.25">
      <c r="A26">
        <v>22</v>
      </c>
      <c r="B26" s="4">
        <f t="shared" si="0"/>
        <v>3.0910424533583161</v>
      </c>
      <c r="C26">
        <v>-6</v>
      </c>
      <c r="D26" s="4">
        <f t="shared" si="1"/>
        <v>-5.3363734796871576</v>
      </c>
      <c r="E26" s="4">
        <f t="shared" si="2"/>
        <v>0.66362652031284242</v>
      </c>
      <c r="F26" s="4">
        <f t="shared" si="3"/>
        <v>0.1106044200521404</v>
      </c>
      <c r="G26" s="8" t="s">
        <v>47</v>
      </c>
      <c r="H26" s="10">
        <f>_xlfn.COVARIANCE.S(Таблица5[ln(X)], Таблица5[Z])/SQRT(_xlfn.VAR.S(Таблица5[ln(X)])*_xlfn.VAR.S(Таблица5[Z]))</f>
        <v>-3.3714379134060037E-2</v>
      </c>
    </row>
    <row r="27" spans="1:8" x14ac:dyDescent="0.25">
      <c r="A27">
        <v>48</v>
      </c>
      <c r="B27" s="4">
        <f t="shared" si="0"/>
        <v>3.8712010109078911</v>
      </c>
      <c r="C27">
        <v>-2</v>
      </c>
      <c r="D27" s="4">
        <f t="shared" si="1"/>
        <v>-5.6384645351749825</v>
      </c>
      <c r="E27" s="4">
        <f t="shared" si="2"/>
        <v>3.6384645351749825</v>
      </c>
      <c r="F27" s="4">
        <f t="shared" si="3"/>
        <v>1.8192322675874912</v>
      </c>
      <c r="G27" s="8" t="s">
        <v>48</v>
      </c>
      <c r="H27" s="16">
        <f>1-SUMSQ(Таблица5[Остатки])/DEVSQ(Таблица5[Z])</f>
        <v>1.1366593603949759E-3</v>
      </c>
    </row>
    <row r="28" spans="1:8" x14ac:dyDescent="0.25">
      <c r="A28">
        <v>30</v>
      </c>
      <c r="B28" s="4">
        <f t="shared" si="0"/>
        <v>3.4011973816621555</v>
      </c>
      <c r="C28">
        <v>-2</v>
      </c>
      <c r="D28" s="4">
        <f t="shared" si="1"/>
        <v>-5.4564708993070195</v>
      </c>
      <c r="E28" s="4">
        <f t="shared" si="2"/>
        <v>3.4564708993070195</v>
      </c>
      <c r="F28" s="4">
        <f t="shared" si="3"/>
        <v>1.7282354496535097</v>
      </c>
      <c r="G28" t="s">
        <v>62</v>
      </c>
    </row>
    <row r="29" spans="1:8" x14ac:dyDescent="0.25">
      <c r="A29">
        <v>29</v>
      </c>
      <c r="B29" s="4">
        <f t="shared" si="0"/>
        <v>3.3672958299864741</v>
      </c>
      <c r="C29">
        <v>-8</v>
      </c>
      <c r="D29" s="4">
        <f t="shared" si="1"/>
        <v>-5.4433436248199598</v>
      </c>
      <c r="E29" s="4">
        <f t="shared" si="2"/>
        <v>2.5566563751800402</v>
      </c>
      <c r="F29" s="4">
        <f t="shared" si="3"/>
        <v>0.31958204689750502</v>
      </c>
    </row>
    <row r="30" spans="1:8" x14ac:dyDescent="0.25">
      <c r="A30">
        <v>29</v>
      </c>
      <c r="B30" s="4">
        <f t="shared" si="0"/>
        <v>3.3672958299864741</v>
      </c>
      <c r="C30">
        <v>-9</v>
      </c>
      <c r="D30" s="4">
        <f t="shared" si="1"/>
        <v>-5.4433436248199598</v>
      </c>
      <c r="E30" s="4">
        <f t="shared" si="2"/>
        <v>3.5566563751800402</v>
      </c>
      <c r="F30" s="4">
        <f t="shared" si="3"/>
        <v>0.39518404168667115</v>
      </c>
      <c r="G30" s="8" t="s">
        <v>50</v>
      </c>
      <c r="H30" s="8" t="s">
        <v>39</v>
      </c>
    </row>
    <row r="31" spans="1:8" x14ac:dyDescent="0.25">
      <c r="A31">
        <v>38</v>
      </c>
      <c r="B31" s="4">
        <f t="shared" si="0"/>
        <v>3.6375861597263857</v>
      </c>
      <c r="C31">
        <v>-2</v>
      </c>
      <c r="D31" s="4">
        <f t="shared" si="1"/>
        <v>-5.5480047737737657</v>
      </c>
      <c r="E31" s="4">
        <f t="shared" si="2"/>
        <v>3.5480047737737657</v>
      </c>
      <c r="F31" s="4">
        <f t="shared" si="3"/>
        <v>1.7740023868868828</v>
      </c>
      <c r="G31" s="8" t="s">
        <v>52</v>
      </c>
      <c r="H31" s="10">
        <f>help_logarithmic_xz!E12</f>
        <v>0.10013984861102866</v>
      </c>
    </row>
    <row r="32" spans="1:8" x14ac:dyDescent="0.25">
      <c r="A32">
        <v>37</v>
      </c>
      <c r="B32" s="4">
        <f t="shared" si="0"/>
        <v>3.6109179126442243</v>
      </c>
      <c r="C32">
        <v>-8</v>
      </c>
      <c r="D32" s="4">
        <f t="shared" si="1"/>
        <v>-5.5376783614937235</v>
      </c>
      <c r="E32" s="4">
        <f t="shared" si="2"/>
        <v>2.4623216385062765</v>
      </c>
      <c r="F32" s="4">
        <f t="shared" si="3"/>
        <v>0.30779020481328456</v>
      </c>
      <c r="G32" s="8" t="s">
        <v>51</v>
      </c>
      <c r="H32" s="10">
        <f>FINV(0.05,help_logarithmic_xz!B12,help_logarithmic_xz!B13)</f>
        <v>3.9493210068606932</v>
      </c>
    </row>
    <row r="33" spans="1:8" x14ac:dyDescent="0.25">
      <c r="A33">
        <v>55</v>
      </c>
      <c r="B33" s="4">
        <f t="shared" si="0"/>
        <v>4.0073331852324712</v>
      </c>
      <c r="C33">
        <v>-9</v>
      </c>
      <c r="D33" s="4">
        <f t="shared" si="1"/>
        <v>-5.6911772969970587</v>
      </c>
      <c r="E33" s="4">
        <f t="shared" si="2"/>
        <v>3.3088227030029413</v>
      </c>
      <c r="F33" s="4">
        <f t="shared" si="3"/>
        <v>0.36764696700032684</v>
      </c>
      <c r="G33" t="s">
        <v>63</v>
      </c>
    </row>
    <row r="34" spans="1:8" x14ac:dyDescent="0.25">
      <c r="A34">
        <v>38</v>
      </c>
      <c r="B34" s="4">
        <f t="shared" si="0"/>
        <v>3.6375861597263857</v>
      </c>
      <c r="C34">
        <v>-7</v>
      </c>
      <c r="D34" s="4">
        <f t="shared" si="1"/>
        <v>-5.5480047737737657</v>
      </c>
      <c r="E34" s="4">
        <f t="shared" si="2"/>
        <v>1.4519952262262343</v>
      </c>
      <c r="F34" s="4">
        <f t="shared" si="3"/>
        <v>0.20742788946089061</v>
      </c>
    </row>
    <row r="35" spans="1:8" x14ac:dyDescent="0.25">
      <c r="A35">
        <v>27</v>
      </c>
      <c r="B35" s="4">
        <f t="shared" si="0"/>
        <v>3.2958368660043291</v>
      </c>
      <c r="C35">
        <v>-2</v>
      </c>
      <c r="D35" s="4">
        <f t="shared" si="1"/>
        <v>-5.4156734625887895</v>
      </c>
      <c r="E35" s="4">
        <f t="shared" si="2"/>
        <v>3.4156734625887895</v>
      </c>
      <c r="F35" s="4">
        <f t="shared" si="3"/>
        <v>1.7078367312943947</v>
      </c>
      <c r="G35" s="8" t="s">
        <v>54</v>
      </c>
      <c r="H35" s="8" t="s">
        <v>39</v>
      </c>
    </row>
    <row r="36" spans="1:8" x14ac:dyDescent="0.25">
      <c r="A36">
        <v>44</v>
      </c>
      <c r="B36" s="4">
        <f t="shared" si="0"/>
        <v>3.784189633918261</v>
      </c>
      <c r="C36">
        <v>-5</v>
      </c>
      <c r="D36" s="4">
        <f t="shared" si="1"/>
        <v>-5.6047722062760901</v>
      </c>
      <c r="E36" s="4">
        <f t="shared" si="2"/>
        <v>0.60477220627609007</v>
      </c>
      <c r="F36" s="4">
        <f t="shared" si="3"/>
        <v>0.12095444125521801</v>
      </c>
      <c r="G36" s="8" t="s">
        <v>21</v>
      </c>
      <c r="H36" s="10">
        <f>help_logarithmic_xz!D18</f>
        <v>-0.3164488088317679</v>
      </c>
    </row>
    <row r="37" spans="1:8" x14ac:dyDescent="0.25">
      <c r="A37">
        <v>48</v>
      </c>
      <c r="B37" s="4">
        <f t="shared" si="0"/>
        <v>3.8712010109078911</v>
      </c>
      <c r="C37">
        <v>-3</v>
      </c>
      <c r="D37" s="4">
        <f t="shared" si="1"/>
        <v>-5.6384645351749825</v>
      </c>
      <c r="E37" s="4">
        <f t="shared" si="2"/>
        <v>2.6384645351749825</v>
      </c>
      <c r="F37" s="4">
        <f t="shared" si="3"/>
        <v>0.87948817839166082</v>
      </c>
      <c r="G37" s="8" t="s">
        <v>53</v>
      </c>
      <c r="H37" s="10" cm="1">
        <f t="array" ref="H37">_xlfn.T.INV(0.95,COUNT(Таблица2[1/X]-2))</f>
        <v>1.661961084030164</v>
      </c>
    </row>
    <row r="38" spans="1:8" x14ac:dyDescent="0.25">
      <c r="A38">
        <v>35</v>
      </c>
      <c r="B38" s="4">
        <f t="shared" si="0"/>
        <v>3.5553480614894135</v>
      </c>
      <c r="C38">
        <v>-6</v>
      </c>
      <c r="D38" s="4">
        <f t="shared" si="1"/>
        <v>-5.5161607419967513</v>
      </c>
      <c r="E38" s="4">
        <f t="shared" si="2"/>
        <v>0.48383925800324867</v>
      </c>
      <c r="F38" s="4">
        <f t="shared" si="3"/>
        <v>8.0639876333874774E-2</v>
      </c>
      <c r="G38" t="s">
        <v>64</v>
      </c>
    </row>
    <row r="39" spans="1:8" x14ac:dyDescent="0.25">
      <c r="A39">
        <v>35</v>
      </c>
      <c r="B39" s="4">
        <f t="shared" si="0"/>
        <v>3.5553480614894135</v>
      </c>
      <c r="C39">
        <v>-10</v>
      </c>
      <c r="D39" s="4">
        <f t="shared" si="1"/>
        <v>-5.5161607419967513</v>
      </c>
      <c r="E39" s="4">
        <f t="shared" si="2"/>
        <v>4.4838392580032487</v>
      </c>
      <c r="F39" s="4">
        <f t="shared" si="3"/>
        <v>0.44838392580032488</v>
      </c>
    </row>
    <row r="40" spans="1:8" ht="15" customHeight="1" x14ac:dyDescent="0.25">
      <c r="A40">
        <v>28</v>
      </c>
      <c r="B40" s="4">
        <f t="shared" si="0"/>
        <v>3.3322045101752038</v>
      </c>
      <c r="C40">
        <v>-4</v>
      </c>
      <c r="D40" s="4">
        <f t="shared" si="1"/>
        <v>-5.4297556512757819</v>
      </c>
      <c r="E40" s="4">
        <f t="shared" si="2"/>
        <v>1.4297556512757819</v>
      </c>
      <c r="F40" s="4">
        <f t="shared" si="3"/>
        <v>0.35743891281894546</v>
      </c>
      <c r="G40" s="18" t="s">
        <v>67</v>
      </c>
      <c r="H40" s="18"/>
    </row>
    <row r="41" spans="1:8" x14ac:dyDescent="0.25">
      <c r="A41">
        <v>39</v>
      </c>
      <c r="B41" s="4">
        <f t="shared" si="0"/>
        <v>3.6635616461296463</v>
      </c>
      <c r="C41">
        <v>-7</v>
      </c>
      <c r="D41" s="4">
        <f t="shared" si="1"/>
        <v>-5.5580629369874304</v>
      </c>
      <c r="E41" s="4">
        <f t="shared" si="2"/>
        <v>1.4419370630125696</v>
      </c>
      <c r="F41" s="4">
        <f t="shared" si="3"/>
        <v>0.20599100900179565</v>
      </c>
      <c r="G41" s="18"/>
      <c r="H41" s="18"/>
    </row>
    <row r="42" spans="1:8" x14ac:dyDescent="0.25">
      <c r="A42">
        <v>38</v>
      </c>
      <c r="B42" s="4">
        <f t="shared" si="0"/>
        <v>3.6375861597263857</v>
      </c>
      <c r="C42">
        <v>-2</v>
      </c>
      <c r="D42" s="4">
        <f t="shared" si="1"/>
        <v>-5.5480047737737657</v>
      </c>
      <c r="E42" s="4">
        <f t="shared" si="2"/>
        <v>3.5480047737737657</v>
      </c>
      <c r="F42" s="4">
        <f t="shared" si="3"/>
        <v>1.7740023868868828</v>
      </c>
      <c r="G42" s="18"/>
      <c r="H42" s="18"/>
    </row>
    <row r="43" spans="1:8" x14ac:dyDescent="0.25">
      <c r="A43">
        <v>35</v>
      </c>
      <c r="B43" s="4">
        <f t="shared" si="0"/>
        <v>3.5553480614894135</v>
      </c>
      <c r="C43">
        <v>-4</v>
      </c>
      <c r="D43" s="4">
        <f t="shared" si="1"/>
        <v>-5.5161607419967513</v>
      </c>
      <c r="E43" s="4">
        <f t="shared" si="2"/>
        <v>1.5161607419967513</v>
      </c>
      <c r="F43" s="4">
        <f t="shared" si="3"/>
        <v>0.37904018549918783</v>
      </c>
      <c r="G43" s="18"/>
      <c r="H43" s="18"/>
    </row>
    <row r="44" spans="1:8" x14ac:dyDescent="0.25">
      <c r="A44">
        <v>40</v>
      </c>
      <c r="B44" s="4">
        <f t="shared" si="0"/>
        <v>3.6888794541139363</v>
      </c>
      <c r="C44">
        <v>-10</v>
      </c>
      <c r="D44" s="4">
        <f t="shared" si="1"/>
        <v>-5.5678664356001164</v>
      </c>
      <c r="E44" s="4">
        <f t="shared" si="2"/>
        <v>4.4321335643998836</v>
      </c>
      <c r="F44" s="4">
        <f t="shared" si="3"/>
        <v>0.44321335643998838</v>
      </c>
      <c r="G44" s="18"/>
      <c r="H44" s="18"/>
    </row>
    <row r="45" spans="1:8" x14ac:dyDescent="0.25">
      <c r="A45">
        <v>44</v>
      </c>
      <c r="B45" s="4">
        <f t="shared" si="0"/>
        <v>3.784189633918261</v>
      </c>
      <c r="C45">
        <v>-10</v>
      </c>
      <c r="D45" s="4">
        <f t="shared" si="1"/>
        <v>-5.6047722062760901</v>
      </c>
      <c r="E45" s="4">
        <f t="shared" si="2"/>
        <v>4.3952277937239099</v>
      </c>
      <c r="F45" s="4">
        <f t="shared" si="3"/>
        <v>0.43952277937239098</v>
      </c>
      <c r="G45" s="18"/>
      <c r="H45" s="18"/>
    </row>
    <row r="46" spans="1:8" x14ac:dyDescent="0.25">
      <c r="A46">
        <v>30</v>
      </c>
      <c r="B46" s="4">
        <f t="shared" si="0"/>
        <v>3.4011973816621555</v>
      </c>
      <c r="C46">
        <v>-9</v>
      </c>
      <c r="D46" s="4">
        <f t="shared" si="1"/>
        <v>-5.4564708993070195</v>
      </c>
      <c r="E46" s="4">
        <f t="shared" si="2"/>
        <v>3.5435291006929805</v>
      </c>
      <c r="F46" s="4">
        <f t="shared" si="3"/>
        <v>0.3937254556325534</v>
      </c>
      <c r="G46" s="18"/>
      <c r="H46" s="18"/>
    </row>
    <row r="47" spans="1:8" x14ac:dyDescent="0.25">
      <c r="A47">
        <v>43</v>
      </c>
      <c r="B47" s="4">
        <f t="shared" si="0"/>
        <v>3.7612001156935624</v>
      </c>
      <c r="C47">
        <v>-10</v>
      </c>
      <c r="D47" s="4">
        <f t="shared" si="1"/>
        <v>-5.5958702622309335</v>
      </c>
      <c r="E47" s="4">
        <f t="shared" si="2"/>
        <v>4.4041297377690665</v>
      </c>
      <c r="F47" s="4">
        <f t="shared" si="3"/>
        <v>0.44041297377690664</v>
      </c>
    </row>
    <row r="48" spans="1:8" x14ac:dyDescent="0.25">
      <c r="A48">
        <v>43</v>
      </c>
      <c r="B48" s="4">
        <f t="shared" si="0"/>
        <v>3.7612001156935624</v>
      </c>
      <c r="C48">
        <v>-10</v>
      </c>
      <c r="D48" s="4">
        <f t="shared" si="1"/>
        <v>-5.5958702622309335</v>
      </c>
      <c r="E48" s="4">
        <f t="shared" si="2"/>
        <v>4.4041297377690665</v>
      </c>
      <c r="F48" s="4">
        <f t="shared" si="3"/>
        <v>0.44041297377690664</v>
      </c>
    </row>
    <row r="49" spans="1:6" x14ac:dyDescent="0.25">
      <c r="A49">
        <v>27</v>
      </c>
      <c r="B49" s="4">
        <f t="shared" si="0"/>
        <v>3.2958368660043291</v>
      </c>
      <c r="C49">
        <v>-7</v>
      </c>
      <c r="D49" s="4">
        <f t="shared" si="1"/>
        <v>-5.4156734625887895</v>
      </c>
      <c r="E49" s="4">
        <f t="shared" si="2"/>
        <v>1.5843265374112105</v>
      </c>
      <c r="F49" s="4">
        <f t="shared" si="3"/>
        <v>0.22633236248731578</v>
      </c>
    </row>
    <row r="50" spans="1:6" x14ac:dyDescent="0.25">
      <c r="A50">
        <v>49</v>
      </c>
      <c r="B50" s="4">
        <f t="shared" si="0"/>
        <v>3.8918202981106265</v>
      </c>
      <c r="C50">
        <v>1</v>
      </c>
      <c r="D50" s="4">
        <f t="shared" si="1"/>
        <v>-5.6464486842613502</v>
      </c>
      <c r="E50" s="4">
        <f t="shared" si="2"/>
        <v>6.6464486842613502</v>
      </c>
      <c r="F50" s="4">
        <f t="shared" si="3"/>
        <v>6.6464486842613502</v>
      </c>
    </row>
    <row r="51" spans="1:6" x14ac:dyDescent="0.25">
      <c r="A51">
        <v>35</v>
      </c>
      <c r="B51" s="4">
        <f t="shared" si="0"/>
        <v>3.5553480614894135</v>
      </c>
      <c r="C51">
        <v>2</v>
      </c>
      <c r="D51" s="4">
        <f t="shared" si="1"/>
        <v>-5.5161607419967513</v>
      </c>
      <c r="E51" s="4">
        <f t="shared" si="2"/>
        <v>7.5161607419967513</v>
      </c>
      <c r="F51" s="4">
        <f t="shared" si="3"/>
        <v>3.7580803709983757</v>
      </c>
    </row>
    <row r="52" spans="1:6" x14ac:dyDescent="0.25">
      <c r="A52">
        <v>36</v>
      </c>
      <c r="B52" s="4">
        <f t="shared" si="0"/>
        <v>3.5835189384561099</v>
      </c>
      <c r="C52">
        <v>-10</v>
      </c>
      <c r="D52" s="4">
        <f t="shared" si="1"/>
        <v>-5.5270689988818864</v>
      </c>
      <c r="E52" s="4">
        <f t="shared" si="2"/>
        <v>4.4729310011181136</v>
      </c>
      <c r="F52" s="4">
        <f t="shared" si="3"/>
        <v>0.44729310011181134</v>
      </c>
    </row>
    <row r="53" spans="1:6" x14ac:dyDescent="0.25">
      <c r="A53">
        <v>15</v>
      </c>
      <c r="B53" s="4">
        <f t="shared" si="0"/>
        <v>2.7080502011022101</v>
      </c>
      <c r="C53">
        <v>-2</v>
      </c>
      <c r="D53" s="4">
        <f t="shared" si="1"/>
        <v>-5.188072172718087</v>
      </c>
      <c r="E53" s="4">
        <f t="shared" si="2"/>
        <v>3.188072172718087</v>
      </c>
      <c r="F53" s="4">
        <f t="shared" si="3"/>
        <v>1.5940360863590435</v>
      </c>
    </row>
    <row r="54" spans="1:6" x14ac:dyDescent="0.25">
      <c r="A54">
        <v>33</v>
      </c>
      <c r="B54" s="4">
        <f t="shared" si="0"/>
        <v>3.4965075614664802</v>
      </c>
      <c r="C54">
        <v>-6</v>
      </c>
      <c r="D54" s="4">
        <f t="shared" si="1"/>
        <v>-5.4933766699829931</v>
      </c>
      <c r="E54" s="4">
        <f t="shared" si="2"/>
        <v>0.50662333001700688</v>
      </c>
      <c r="F54" s="4">
        <f t="shared" si="3"/>
        <v>8.4437221669501142E-2</v>
      </c>
    </row>
    <row r="55" spans="1:6" x14ac:dyDescent="0.25">
      <c r="A55">
        <v>27</v>
      </c>
      <c r="B55" s="4">
        <f t="shared" si="0"/>
        <v>3.2958368660043291</v>
      </c>
      <c r="C55">
        <v>-7</v>
      </c>
      <c r="D55" s="4">
        <f t="shared" si="1"/>
        <v>-5.4156734625887895</v>
      </c>
      <c r="E55" s="4">
        <f t="shared" si="2"/>
        <v>1.5843265374112105</v>
      </c>
      <c r="F55" s="4">
        <f t="shared" si="3"/>
        <v>0.22633236248731578</v>
      </c>
    </row>
    <row r="56" spans="1:6" x14ac:dyDescent="0.25">
      <c r="A56">
        <v>43</v>
      </c>
      <c r="B56" s="4">
        <f t="shared" si="0"/>
        <v>3.7612001156935624</v>
      </c>
      <c r="C56">
        <v>-3</v>
      </c>
      <c r="D56" s="4">
        <f t="shared" si="1"/>
        <v>-5.5958702622309335</v>
      </c>
      <c r="E56" s="4">
        <f t="shared" si="2"/>
        <v>2.5958702622309335</v>
      </c>
      <c r="F56" s="4">
        <f t="shared" si="3"/>
        <v>0.86529008741031121</v>
      </c>
    </row>
    <row r="57" spans="1:6" x14ac:dyDescent="0.25">
      <c r="A57">
        <v>47</v>
      </c>
      <c r="B57" s="4">
        <f t="shared" si="0"/>
        <v>3.8501476017100584</v>
      </c>
      <c r="C57">
        <v>-7</v>
      </c>
      <c r="D57" s="4">
        <f t="shared" si="1"/>
        <v>-5.6303122864498434</v>
      </c>
      <c r="E57" s="4">
        <f t="shared" si="2"/>
        <v>1.3696877135501566</v>
      </c>
      <c r="F57" s="4">
        <f t="shared" si="3"/>
        <v>0.1956696733643081</v>
      </c>
    </row>
    <row r="58" spans="1:6" x14ac:dyDescent="0.25">
      <c r="A58">
        <v>33</v>
      </c>
      <c r="B58" s="4">
        <f t="shared" si="0"/>
        <v>3.4965075614664802</v>
      </c>
      <c r="C58">
        <v>-6</v>
      </c>
      <c r="D58" s="4">
        <f t="shared" si="1"/>
        <v>-5.4933766699829931</v>
      </c>
      <c r="E58" s="4">
        <f t="shared" si="2"/>
        <v>0.50662333001700688</v>
      </c>
      <c r="F58" s="4">
        <f t="shared" si="3"/>
        <v>8.4437221669501142E-2</v>
      </c>
    </row>
    <row r="59" spans="1:6" x14ac:dyDescent="0.25">
      <c r="A59">
        <v>28</v>
      </c>
      <c r="B59" s="4">
        <f t="shared" si="0"/>
        <v>3.3322045101752038</v>
      </c>
      <c r="C59">
        <v>-9</v>
      </c>
      <c r="D59" s="4">
        <f t="shared" si="1"/>
        <v>-5.4297556512757819</v>
      </c>
      <c r="E59" s="4">
        <f t="shared" si="2"/>
        <v>3.5702443487242181</v>
      </c>
      <c r="F59" s="4">
        <f t="shared" si="3"/>
        <v>0.39669381652491315</v>
      </c>
    </row>
    <row r="60" spans="1:6" x14ac:dyDescent="0.25">
      <c r="A60">
        <v>41</v>
      </c>
      <c r="B60" s="4">
        <f t="shared" si="0"/>
        <v>3.713572066704308</v>
      </c>
      <c r="C60">
        <v>-5</v>
      </c>
      <c r="D60" s="4">
        <f t="shared" si="1"/>
        <v>-5.5774278476079608</v>
      </c>
      <c r="E60" s="4">
        <f t="shared" si="2"/>
        <v>0.57742784760796084</v>
      </c>
      <c r="F60" s="4">
        <f t="shared" si="3"/>
        <v>0.11548556952159217</v>
      </c>
    </row>
    <row r="61" spans="1:6" x14ac:dyDescent="0.25">
      <c r="A61">
        <v>59</v>
      </c>
      <c r="B61" s="4">
        <f t="shared" si="0"/>
        <v>4.0775374439057197</v>
      </c>
      <c r="C61">
        <v>-1</v>
      </c>
      <c r="D61" s="4">
        <f t="shared" si="1"/>
        <v>-5.718361615360438</v>
      </c>
      <c r="E61" s="4">
        <f t="shared" si="2"/>
        <v>4.718361615360438</v>
      </c>
      <c r="F61" s="4">
        <f t="shared" si="3"/>
        <v>4.718361615360438</v>
      </c>
    </row>
    <row r="62" spans="1:6" x14ac:dyDescent="0.25">
      <c r="A62">
        <v>23</v>
      </c>
      <c r="B62" s="4">
        <f t="shared" si="0"/>
        <v>3.1354942159291497</v>
      </c>
      <c r="C62">
        <v>-5</v>
      </c>
      <c r="D62" s="4">
        <f t="shared" si="1"/>
        <v>-5.3535859805863275</v>
      </c>
      <c r="E62" s="4">
        <f t="shared" si="2"/>
        <v>0.35358598058632751</v>
      </c>
      <c r="F62" s="4">
        <f t="shared" si="3"/>
        <v>7.0717196117265499E-2</v>
      </c>
    </row>
    <row r="63" spans="1:6" x14ac:dyDescent="0.25">
      <c r="A63">
        <v>39</v>
      </c>
      <c r="B63" s="4">
        <f t="shared" si="0"/>
        <v>3.6635616461296463</v>
      </c>
      <c r="C63">
        <v>-4</v>
      </c>
      <c r="D63" s="4">
        <f t="shared" si="1"/>
        <v>-5.5580629369874304</v>
      </c>
      <c r="E63" s="4">
        <f t="shared" si="2"/>
        <v>1.5580629369874304</v>
      </c>
      <c r="F63" s="4">
        <f t="shared" si="3"/>
        <v>0.38951573424685759</v>
      </c>
    </row>
    <row r="64" spans="1:6" x14ac:dyDescent="0.25">
      <c r="A64">
        <v>37</v>
      </c>
      <c r="B64" s="4">
        <f t="shared" si="0"/>
        <v>3.6109179126442243</v>
      </c>
      <c r="C64">
        <v>-3</v>
      </c>
      <c r="D64" s="4">
        <f t="shared" si="1"/>
        <v>-5.5376783614937235</v>
      </c>
      <c r="E64" s="4">
        <f t="shared" si="2"/>
        <v>2.5376783614937235</v>
      </c>
      <c r="F64" s="4">
        <f t="shared" si="3"/>
        <v>0.8458927871645745</v>
      </c>
    </row>
    <row r="65" spans="1:6" x14ac:dyDescent="0.25">
      <c r="A65">
        <v>49</v>
      </c>
      <c r="B65" s="4">
        <f t="shared" si="0"/>
        <v>3.8918202981106265</v>
      </c>
      <c r="C65">
        <v>-2</v>
      </c>
      <c r="D65" s="4">
        <f t="shared" si="1"/>
        <v>-5.6464486842613502</v>
      </c>
      <c r="E65" s="4">
        <f t="shared" si="2"/>
        <v>3.6464486842613502</v>
      </c>
      <c r="F65" s="4">
        <f t="shared" si="3"/>
        <v>1.8232243421306751</v>
      </c>
    </row>
    <row r="66" spans="1:6" x14ac:dyDescent="0.25">
      <c r="A66">
        <v>26</v>
      </c>
      <c r="B66" s="4">
        <f t="shared" si="0"/>
        <v>3.2580965380214821</v>
      </c>
      <c r="C66">
        <v>-7</v>
      </c>
      <c r="D66" s="4">
        <f t="shared" si="1"/>
        <v>-5.4010597466915939</v>
      </c>
      <c r="E66" s="4">
        <f t="shared" si="2"/>
        <v>1.5989402533084061</v>
      </c>
      <c r="F66" s="4">
        <f t="shared" si="3"/>
        <v>0.22842003618691514</v>
      </c>
    </row>
    <row r="67" spans="1:6" x14ac:dyDescent="0.25">
      <c r="A67">
        <v>20</v>
      </c>
      <c r="B67" s="4">
        <f t="shared" ref="B67:B91" si="4">LN(A67)</f>
        <v>2.9957322735539909</v>
      </c>
      <c r="C67">
        <v>-3</v>
      </c>
      <c r="D67" s="4">
        <f t="shared" ref="D67:D91" si="5">B67*$H$2+$H$3</f>
        <v>-5.2994677090111839</v>
      </c>
      <c r="E67" s="4">
        <f t="shared" ref="E67:E91" si="6">ABS(D67-C67)</f>
        <v>2.2994677090111839</v>
      </c>
      <c r="F67" s="4">
        <f t="shared" ref="F67:F91" si="7">ABS(E67/C67)</f>
        <v>0.76648923633706134</v>
      </c>
    </row>
    <row r="68" spans="1:6" x14ac:dyDescent="0.25">
      <c r="A68">
        <v>48</v>
      </c>
      <c r="B68" s="4">
        <f t="shared" si="4"/>
        <v>3.8712010109078911</v>
      </c>
      <c r="C68">
        <v>-9</v>
      </c>
      <c r="D68" s="4">
        <f t="shared" si="5"/>
        <v>-5.6384645351749825</v>
      </c>
      <c r="E68" s="4">
        <f t="shared" si="6"/>
        <v>3.3615354648250175</v>
      </c>
      <c r="F68" s="4">
        <f t="shared" si="7"/>
        <v>0.37350394053611308</v>
      </c>
    </row>
    <row r="69" spans="1:6" x14ac:dyDescent="0.25">
      <c r="A69">
        <v>32</v>
      </c>
      <c r="B69" s="4">
        <f t="shared" si="4"/>
        <v>3.4657359027997265</v>
      </c>
      <c r="C69">
        <v>-10</v>
      </c>
      <c r="D69" s="4">
        <f t="shared" si="5"/>
        <v>-5.4814613448791469</v>
      </c>
      <c r="E69" s="4">
        <f t="shared" si="6"/>
        <v>4.5185386551208531</v>
      </c>
      <c r="F69" s="4">
        <f t="shared" si="7"/>
        <v>0.45185386551208528</v>
      </c>
    </row>
    <row r="70" spans="1:6" x14ac:dyDescent="0.25">
      <c r="A70">
        <v>52</v>
      </c>
      <c r="B70" s="4">
        <f t="shared" si="4"/>
        <v>3.9512437185814275</v>
      </c>
      <c r="C70">
        <v>-8</v>
      </c>
      <c r="D70" s="4">
        <f t="shared" si="5"/>
        <v>-5.6694584732805273</v>
      </c>
      <c r="E70" s="4">
        <f t="shared" si="6"/>
        <v>2.3305415267194727</v>
      </c>
      <c r="F70" s="4">
        <f t="shared" si="7"/>
        <v>0.29131769083993408</v>
      </c>
    </row>
    <row r="71" spans="1:6" x14ac:dyDescent="0.25">
      <c r="A71">
        <v>43</v>
      </c>
      <c r="B71" s="4">
        <f t="shared" si="4"/>
        <v>3.7612001156935624</v>
      </c>
      <c r="C71">
        <v>-1</v>
      </c>
      <c r="D71" s="4">
        <f t="shared" si="5"/>
        <v>-5.5958702622309335</v>
      </c>
      <c r="E71" s="4">
        <f t="shared" si="6"/>
        <v>4.5958702622309335</v>
      </c>
      <c r="F71" s="4">
        <f t="shared" si="7"/>
        <v>4.5958702622309335</v>
      </c>
    </row>
    <row r="72" spans="1:6" x14ac:dyDescent="0.25">
      <c r="A72">
        <v>49</v>
      </c>
      <c r="B72" s="4">
        <f t="shared" si="4"/>
        <v>3.8918202981106265</v>
      </c>
      <c r="C72">
        <v>-2</v>
      </c>
      <c r="D72" s="4">
        <f t="shared" si="5"/>
        <v>-5.6464486842613502</v>
      </c>
      <c r="E72" s="4">
        <f t="shared" si="6"/>
        <v>3.6464486842613502</v>
      </c>
      <c r="F72" s="4">
        <f t="shared" si="7"/>
        <v>1.8232243421306751</v>
      </c>
    </row>
    <row r="73" spans="1:6" x14ac:dyDescent="0.25">
      <c r="A73">
        <v>39</v>
      </c>
      <c r="B73" s="4">
        <f t="shared" si="4"/>
        <v>3.6635616461296463</v>
      </c>
      <c r="C73">
        <v>-7</v>
      </c>
      <c r="D73" s="4">
        <f t="shared" si="5"/>
        <v>-5.5580629369874304</v>
      </c>
      <c r="E73" s="4">
        <f t="shared" si="6"/>
        <v>1.4419370630125696</v>
      </c>
      <c r="F73" s="4">
        <f t="shared" si="7"/>
        <v>0.20599100900179565</v>
      </c>
    </row>
    <row r="74" spans="1:6" x14ac:dyDescent="0.25">
      <c r="A74">
        <v>42</v>
      </c>
      <c r="B74" s="4">
        <f t="shared" si="4"/>
        <v>3.7376696182833684</v>
      </c>
      <c r="C74">
        <v>-3</v>
      </c>
      <c r="D74" s="4">
        <f t="shared" si="5"/>
        <v>-5.5867588415716183</v>
      </c>
      <c r="E74" s="4">
        <f t="shared" si="6"/>
        <v>2.5867588415716183</v>
      </c>
      <c r="F74" s="4">
        <f t="shared" si="7"/>
        <v>0.86225294719053946</v>
      </c>
    </row>
    <row r="75" spans="1:6" x14ac:dyDescent="0.25">
      <c r="A75">
        <v>37</v>
      </c>
      <c r="B75" s="4">
        <f t="shared" si="4"/>
        <v>3.6109179126442243</v>
      </c>
      <c r="C75">
        <v>-5</v>
      </c>
      <c r="D75" s="4">
        <f t="shared" si="5"/>
        <v>-5.5376783614937235</v>
      </c>
      <c r="E75" s="4">
        <f t="shared" si="6"/>
        <v>0.5376783614937235</v>
      </c>
      <c r="F75" s="4">
        <f t="shared" si="7"/>
        <v>0.10753567229874469</v>
      </c>
    </row>
    <row r="76" spans="1:6" x14ac:dyDescent="0.25">
      <c r="A76">
        <v>30</v>
      </c>
      <c r="B76" s="4">
        <f t="shared" si="4"/>
        <v>3.4011973816621555</v>
      </c>
      <c r="C76">
        <v>-4</v>
      </c>
      <c r="D76" s="4">
        <f t="shared" si="5"/>
        <v>-5.4564708993070195</v>
      </c>
      <c r="E76" s="4">
        <f t="shared" si="6"/>
        <v>1.4564708993070195</v>
      </c>
      <c r="F76" s="4">
        <f t="shared" si="7"/>
        <v>0.36411772482675486</v>
      </c>
    </row>
    <row r="77" spans="1:6" x14ac:dyDescent="0.25">
      <c r="A77">
        <v>27</v>
      </c>
      <c r="B77" s="4">
        <f t="shared" si="4"/>
        <v>3.2958368660043291</v>
      </c>
      <c r="C77">
        <v>-4</v>
      </c>
      <c r="D77" s="4">
        <f t="shared" si="5"/>
        <v>-5.4156734625887895</v>
      </c>
      <c r="E77" s="4">
        <f t="shared" si="6"/>
        <v>1.4156734625887895</v>
      </c>
      <c r="F77" s="4">
        <f t="shared" si="7"/>
        <v>0.35391836564719736</v>
      </c>
    </row>
    <row r="78" spans="1:6" x14ac:dyDescent="0.25">
      <c r="A78">
        <v>18</v>
      </c>
      <c r="B78" s="4">
        <f t="shared" si="4"/>
        <v>2.8903717578961645</v>
      </c>
      <c r="C78">
        <v>-5</v>
      </c>
      <c r="D78" s="4">
        <f t="shared" si="5"/>
        <v>-5.2586702722929539</v>
      </c>
      <c r="E78" s="4">
        <f t="shared" si="6"/>
        <v>0.25867027229295392</v>
      </c>
      <c r="F78" s="4">
        <f t="shared" si="7"/>
        <v>5.1734054458590785E-2</v>
      </c>
    </row>
    <row r="79" spans="1:6" x14ac:dyDescent="0.25">
      <c r="A79">
        <v>42</v>
      </c>
      <c r="B79" s="4">
        <f t="shared" si="4"/>
        <v>3.7376696182833684</v>
      </c>
      <c r="C79">
        <v>-7</v>
      </c>
      <c r="D79" s="4">
        <f t="shared" si="5"/>
        <v>-5.5867588415716183</v>
      </c>
      <c r="E79" s="4">
        <f t="shared" si="6"/>
        <v>1.4132411584283817</v>
      </c>
      <c r="F79" s="4">
        <f t="shared" si="7"/>
        <v>0.20189159406119739</v>
      </c>
    </row>
    <row r="80" spans="1:6" x14ac:dyDescent="0.25">
      <c r="A80">
        <v>24</v>
      </c>
      <c r="B80" s="4">
        <f t="shared" si="4"/>
        <v>3.1780538303479458</v>
      </c>
      <c r="C80">
        <v>-8</v>
      </c>
      <c r="D80" s="4">
        <f t="shared" si="5"/>
        <v>-5.37006580858605</v>
      </c>
      <c r="E80" s="4">
        <f t="shared" si="6"/>
        <v>2.62993419141395</v>
      </c>
      <c r="F80" s="4">
        <f t="shared" si="7"/>
        <v>0.32874177392674375</v>
      </c>
    </row>
    <row r="81" spans="1:6" x14ac:dyDescent="0.25">
      <c r="A81">
        <v>31</v>
      </c>
      <c r="B81" s="4">
        <f t="shared" si="4"/>
        <v>3.4339872044851463</v>
      </c>
      <c r="C81">
        <v>-10</v>
      </c>
      <c r="D81" s="4">
        <f t="shared" si="5"/>
        <v>-5.4691676929139099</v>
      </c>
      <c r="E81" s="4">
        <f t="shared" si="6"/>
        <v>4.5308323070860901</v>
      </c>
      <c r="F81" s="4">
        <f t="shared" si="7"/>
        <v>0.45308323070860901</v>
      </c>
    </row>
    <row r="82" spans="1:6" x14ac:dyDescent="0.25">
      <c r="A82">
        <v>27</v>
      </c>
      <c r="B82" s="4">
        <f t="shared" si="4"/>
        <v>3.2958368660043291</v>
      </c>
      <c r="C82">
        <v>-5</v>
      </c>
      <c r="D82" s="4">
        <f t="shared" si="5"/>
        <v>-5.4156734625887895</v>
      </c>
      <c r="E82" s="4">
        <f t="shared" si="6"/>
        <v>0.41567346258878946</v>
      </c>
      <c r="F82" s="4">
        <f t="shared" si="7"/>
        <v>8.3134692517757888E-2</v>
      </c>
    </row>
    <row r="83" spans="1:6" x14ac:dyDescent="0.25">
      <c r="A83">
        <v>34</v>
      </c>
      <c r="B83" s="4">
        <f t="shared" si="4"/>
        <v>3.5263605246161616</v>
      </c>
      <c r="C83">
        <v>-6</v>
      </c>
      <c r="D83" s="4">
        <f t="shared" si="5"/>
        <v>-5.5049362600945884</v>
      </c>
      <c r="E83" s="4">
        <f t="shared" si="6"/>
        <v>0.49506373990541164</v>
      </c>
      <c r="F83" s="4">
        <f t="shared" si="7"/>
        <v>8.2510623317568602E-2</v>
      </c>
    </row>
    <row r="84" spans="1:6" x14ac:dyDescent="0.25">
      <c r="A84">
        <v>24</v>
      </c>
      <c r="B84" s="4">
        <f t="shared" si="4"/>
        <v>3.1780538303479458</v>
      </c>
      <c r="C84">
        <v>-5</v>
      </c>
      <c r="D84" s="4">
        <f t="shared" si="5"/>
        <v>-5.37006580858605</v>
      </c>
      <c r="E84" s="4">
        <f t="shared" si="6"/>
        <v>0.37006580858604998</v>
      </c>
      <c r="F84" s="4">
        <f t="shared" si="7"/>
        <v>7.4013161717209994E-2</v>
      </c>
    </row>
    <row r="85" spans="1:6" x14ac:dyDescent="0.25">
      <c r="A85">
        <v>43</v>
      </c>
      <c r="B85" s="4">
        <f t="shared" si="4"/>
        <v>3.7612001156935624</v>
      </c>
      <c r="C85">
        <v>-5</v>
      </c>
      <c r="D85" s="4">
        <f t="shared" si="5"/>
        <v>-5.5958702622309335</v>
      </c>
      <c r="E85" s="4">
        <f t="shared" si="6"/>
        <v>0.59587026223093353</v>
      </c>
      <c r="F85" s="4">
        <f t="shared" si="7"/>
        <v>0.1191740524461867</v>
      </c>
    </row>
    <row r="86" spans="1:6" x14ac:dyDescent="0.25">
      <c r="A86">
        <v>46</v>
      </c>
      <c r="B86" s="4">
        <f t="shared" si="4"/>
        <v>3.8286413964890951</v>
      </c>
      <c r="C86">
        <v>-4</v>
      </c>
      <c r="D86" s="4">
        <f t="shared" si="5"/>
        <v>-5.62198470717526</v>
      </c>
      <c r="E86" s="4">
        <f t="shared" si="6"/>
        <v>1.62198470717526</v>
      </c>
      <c r="F86" s="4">
        <f t="shared" si="7"/>
        <v>0.405496176793815</v>
      </c>
    </row>
    <row r="87" spans="1:6" x14ac:dyDescent="0.25">
      <c r="A87">
        <v>37</v>
      </c>
      <c r="B87" s="4">
        <f t="shared" si="4"/>
        <v>3.6109179126442243</v>
      </c>
      <c r="C87">
        <v>-8</v>
      </c>
      <c r="D87" s="4">
        <f t="shared" si="5"/>
        <v>-5.5376783614937235</v>
      </c>
      <c r="E87" s="4">
        <f t="shared" si="6"/>
        <v>2.4623216385062765</v>
      </c>
      <c r="F87" s="4">
        <f t="shared" si="7"/>
        <v>0.30779020481328456</v>
      </c>
    </row>
    <row r="88" spans="1:6" x14ac:dyDescent="0.25">
      <c r="A88">
        <v>35</v>
      </c>
      <c r="B88" s="4">
        <f t="shared" si="4"/>
        <v>3.5553480614894135</v>
      </c>
      <c r="C88">
        <v>-6</v>
      </c>
      <c r="D88" s="4">
        <f t="shared" si="5"/>
        <v>-5.5161607419967513</v>
      </c>
      <c r="E88" s="4">
        <f t="shared" si="6"/>
        <v>0.48383925800324867</v>
      </c>
      <c r="F88" s="4">
        <f t="shared" si="7"/>
        <v>8.0639876333874774E-2</v>
      </c>
    </row>
    <row r="89" spans="1:6" x14ac:dyDescent="0.25">
      <c r="A89">
        <v>28</v>
      </c>
      <c r="B89" s="4">
        <f t="shared" si="4"/>
        <v>3.3322045101752038</v>
      </c>
      <c r="C89">
        <v>-7</v>
      </c>
      <c r="D89" s="4">
        <f t="shared" si="5"/>
        <v>-5.4297556512757819</v>
      </c>
      <c r="E89" s="4">
        <f t="shared" si="6"/>
        <v>1.5702443487242181</v>
      </c>
      <c r="F89" s="4">
        <f t="shared" si="7"/>
        <v>0.22432062124631688</v>
      </c>
    </row>
    <row r="90" spans="1:6" x14ac:dyDescent="0.25">
      <c r="A90">
        <v>22</v>
      </c>
      <c r="B90" s="4">
        <f t="shared" si="4"/>
        <v>3.0910424533583161</v>
      </c>
      <c r="C90">
        <v>-1</v>
      </c>
      <c r="D90" s="4">
        <f t="shared" si="5"/>
        <v>-5.3363734796871576</v>
      </c>
      <c r="E90" s="4">
        <f t="shared" si="6"/>
        <v>4.3363734796871576</v>
      </c>
      <c r="F90" s="4">
        <f t="shared" si="7"/>
        <v>4.3363734796871576</v>
      </c>
    </row>
    <row r="91" spans="1:6" x14ac:dyDescent="0.25">
      <c r="A91">
        <v>35</v>
      </c>
      <c r="B91" s="4">
        <f t="shared" si="4"/>
        <v>3.5553480614894135</v>
      </c>
      <c r="C91">
        <v>-10</v>
      </c>
      <c r="D91" s="4">
        <f t="shared" si="5"/>
        <v>-5.5161607419967513</v>
      </c>
      <c r="E91" s="4">
        <f t="shared" si="6"/>
        <v>4.4838392580032487</v>
      </c>
      <c r="F91" s="4">
        <f t="shared" si="7"/>
        <v>0.44838392580032488</v>
      </c>
    </row>
  </sheetData>
  <mergeCells count="1">
    <mergeCell ref="G40:H46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77C2-0DB5-4731-8D99-98C472A31624}">
  <dimension ref="A1:I114"/>
  <sheetViews>
    <sheetView workbookViewId="0">
      <selection activeCell="D21" sqref="D21"/>
    </sheetView>
  </sheetViews>
  <sheetFormatPr defaultRowHeight="15" x14ac:dyDescent="0.25"/>
  <cols>
    <col min="1" max="1" width="26.28515625" bestFit="1" customWidth="1"/>
    <col min="2" max="2" width="17.140625" bestFit="1" customWidth="1"/>
    <col min="3" max="3" width="23.28515625" bestFit="1" customWidth="1"/>
    <col min="4" max="4" width="25" bestFit="1" customWidth="1"/>
    <col min="5" max="5" width="12" bestFit="1" customWidth="1"/>
    <col min="6" max="6" width="14.7109375" bestFit="1" customWidth="1"/>
    <col min="7" max="7" width="13.140625" bestFit="1" customWidth="1"/>
    <col min="8" max="8" width="14.7109375" bestFit="1" customWidth="1"/>
    <col min="9" max="9" width="14.8554687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 s="4">
        <v>3.371437913405731E-2</v>
      </c>
    </row>
    <row r="5" spans="1:9" x14ac:dyDescent="0.25">
      <c r="A5" t="s">
        <v>10</v>
      </c>
      <c r="B5" s="4">
        <v>1.136659360394959E-3</v>
      </c>
    </row>
    <row r="6" spans="1:9" x14ac:dyDescent="0.25">
      <c r="A6" t="s">
        <v>11</v>
      </c>
      <c r="B6" s="4">
        <v>-1.0214060419600553E-2</v>
      </c>
    </row>
    <row r="7" spans="1:9" x14ac:dyDescent="0.25">
      <c r="A7" t="s">
        <v>12</v>
      </c>
      <c r="B7" s="4">
        <v>3.1033787416648848</v>
      </c>
    </row>
    <row r="8" spans="1:9" ht="15.75" thickBot="1" x14ac:dyDescent="0.3">
      <c r="A8" s="1" t="s">
        <v>13</v>
      </c>
      <c r="B8" s="5">
        <v>90</v>
      </c>
    </row>
    <row r="10" spans="1:9" ht="15.75" thickBot="1" x14ac:dyDescent="0.3">
      <c r="A10" t="s">
        <v>14</v>
      </c>
    </row>
    <row r="11" spans="1:9" x14ac:dyDescent="0.25">
      <c r="A11" s="2"/>
      <c r="B11" s="2" t="s">
        <v>3</v>
      </c>
      <c r="C11" s="2" t="s">
        <v>4</v>
      </c>
      <c r="D11" s="2" t="s">
        <v>5</v>
      </c>
      <c r="E11" s="2" t="s">
        <v>6</v>
      </c>
      <c r="F11" s="2" t="s">
        <v>19</v>
      </c>
    </row>
    <row r="12" spans="1:9" x14ac:dyDescent="0.25">
      <c r="A12" t="s">
        <v>15</v>
      </c>
      <c r="B12">
        <v>1</v>
      </c>
      <c r="C12" s="4">
        <v>0.96444283774667383</v>
      </c>
      <c r="D12" s="4">
        <v>0.96444283774667383</v>
      </c>
      <c r="E12" s="4">
        <v>0.10013984861102866</v>
      </c>
      <c r="F12" s="4">
        <v>0.75241129979662491</v>
      </c>
    </row>
    <row r="13" spans="1:9" x14ac:dyDescent="0.25">
      <c r="A13" t="s">
        <v>16</v>
      </c>
      <c r="B13">
        <v>88</v>
      </c>
      <c r="C13" s="4">
        <v>847.52444605114215</v>
      </c>
      <c r="D13" s="4">
        <v>9.6309596142175238</v>
      </c>
      <c r="E13" s="4"/>
      <c r="F13" s="4"/>
    </row>
    <row r="14" spans="1:9" ht="15.75" thickBot="1" x14ac:dyDescent="0.3">
      <c r="A14" s="1" t="s">
        <v>17</v>
      </c>
      <c r="B14" s="1">
        <v>89</v>
      </c>
      <c r="C14" s="5">
        <v>848.48888888888882</v>
      </c>
      <c r="D14" s="5"/>
      <c r="E14" s="5"/>
      <c r="F14" s="5"/>
    </row>
    <row r="15" spans="1:9" ht="15.75" thickBot="1" x14ac:dyDescent="0.3"/>
    <row r="16" spans="1:9" x14ac:dyDescent="0.25">
      <c r="A16" s="2"/>
      <c r="B16" s="2" t="s">
        <v>20</v>
      </c>
      <c r="C16" s="2" t="s">
        <v>12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18</v>
      </c>
      <c r="B17" s="4">
        <v>-4.1394677119344845</v>
      </c>
      <c r="C17" s="4">
        <v>4.3468140465959788</v>
      </c>
      <c r="D17" s="4">
        <v>-0.95229923975609931</v>
      </c>
      <c r="E17" s="4">
        <v>0.34355362522740196</v>
      </c>
      <c r="F17" s="4">
        <v>-12.777847211040447</v>
      </c>
      <c r="G17" s="4">
        <v>4.4989117871714779</v>
      </c>
      <c r="H17" s="4">
        <v>-12.777847211040447</v>
      </c>
      <c r="I17" s="4">
        <v>4.4989117871714779</v>
      </c>
    </row>
    <row r="18" spans="1:9" ht="15.75" thickBot="1" x14ac:dyDescent="0.3">
      <c r="A18" s="1" t="s">
        <v>60</v>
      </c>
      <c r="B18" s="5">
        <v>-0.38721751183076569</v>
      </c>
      <c r="C18" s="5">
        <v>1.223633968667015</v>
      </c>
      <c r="D18" s="5">
        <v>-0.3164488088317679</v>
      </c>
      <c r="E18" s="5">
        <v>0.75241129979660581</v>
      </c>
      <c r="F18" s="5">
        <v>-2.8189328960258688</v>
      </c>
      <c r="G18" s="5">
        <v>2.044497872364337</v>
      </c>
      <c r="H18" s="5">
        <v>-2.8189328960258688</v>
      </c>
      <c r="I18" s="5">
        <v>2.044497872364337</v>
      </c>
    </row>
    <row r="22" spans="1:9" x14ac:dyDescent="0.25">
      <c r="A22" t="s">
        <v>27</v>
      </c>
    </row>
    <row r="23" spans="1:9" ht="15.75" thickBot="1" x14ac:dyDescent="0.3"/>
    <row r="24" spans="1:9" x14ac:dyDescent="0.25">
      <c r="A24" s="2" t="s">
        <v>28</v>
      </c>
      <c r="B24" s="2" t="s">
        <v>31</v>
      </c>
      <c r="C24" s="2" t="s">
        <v>29</v>
      </c>
      <c r="D24" s="2" t="s">
        <v>30</v>
      </c>
    </row>
    <row r="25" spans="1:9" x14ac:dyDescent="0.25">
      <c r="A25">
        <v>1</v>
      </c>
      <c r="B25" s="4">
        <v>-5.3858727997321525</v>
      </c>
      <c r="C25" s="4">
        <v>-1.6141272002678475</v>
      </c>
      <c r="D25" s="4">
        <v>-0.52306618211352351</v>
      </c>
    </row>
    <row r="26" spans="1:9" x14ac:dyDescent="0.25">
      <c r="A26">
        <v>2</v>
      </c>
      <c r="B26" s="4">
        <v>-5.6303122864498434</v>
      </c>
      <c r="C26" s="4">
        <v>-0.36968771355015662</v>
      </c>
      <c r="D26" s="4">
        <v>-0.11979919604159475</v>
      </c>
    </row>
    <row r="27" spans="1:9" x14ac:dyDescent="0.25">
      <c r="A27">
        <v>3</v>
      </c>
      <c r="B27" s="4">
        <v>-5.5867588415716183</v>
      </c>
      <c r="C27" s="4">
        <v>-4.4132411584283817</v>
      </c>
      <c r="D27" s="4">
        <v>-1.4301333891792045</v>
      </c>
    </row>
    <row r="28" spans="1:9" x14ac:dyDescent="0.25">
      <c r="A28">
        <v>4</v>
      </c>
      <c r="B28" s="4">
        <v>-5.5480047737737657</v>
      </c>
      <c r="C28" s="4">
        <v>4.5480047737737657</v>
      </c>
      <c r="D28" s="4">
        <v>1.4738042285993125</v>
      </c>
    </row>
    <row r="29" spans="1:9" x14ac:dyDescent="0.25">
      <c r="A29">
        <v>5</v>
      </c>
      <c r="B29" s="4">
        <v>-5.4564708993070195</v>
      </c>
      <c r="C29" s="4">
        <v>3.4564708993070195</v>
      </c>
      <c r="D29" s="4">
        <v>1.1200870889153018</v>
      </c>
    </row>
    <row r="30" spans="1:9" x14ac:dyDescent="0.25">
      <c r="A30">
        <v>6</v>
      </c>
      <c r="B30" s="4">
        <v>-5.4564708993070195</v>
      </c>
      <c r="C30" s="4">
        <v>-0.54352910069298055</v>
      </c>
      <c r="D30" s="4">
        <v>-0.17613338745539839</v>
      </c>
    </row>
    <row r="31" spans="1:9" x14ac:dyDescent="0.25">
      <c r="A31">
        <v>7</v>
      </c>
      <c r="B31" s="4">
        <v>-5.4814613448791469</v>
      </c>
      <c r="C31" s="4">
        <v>-0.51853865512085306</v>
      </c>
      <c r="D31" s="4">
        <v>-0.1680351056393436</v>
      </c>
    </row>
    <row r="32" spans="1:9" x14ac:dyDescent="0.25">
      <c r="A32">
        <v>8</v>
      </c>
      <c r="B32" s="4">
        <v>-5.5480047737737657</v>
      </c>
      <c r="C32" s="4">
        <v>0.54800477377376566</v>
      </c>
      <c r="D32" s="4">
        <v>0.17758375222861209</v>
      </c>
    </row>
    <row r="33" spans="1:4" x14ac:dyDescent="0.25">
      <c r="A33">
        <v>9</v>
      </c>
      <c r="B33" s="4">
        <v>-5.5049362600945884</v>
      </c>
      <c r="C33" s="4">
        <v>-4.4950637399054116</v>
      </c>
      <c r="D33" s="4">
        <v>-1.4566484155642136</v>
      </c>
    </row>
    <row r="34" spans="1:4" x14ac:dyDescent="0.25">
      <c r="A34">
        <v>10</v>
      </c>
      <c r="B34" s="4">
        <v>-5.5049362600945884</v>
      </c>
      <c r="C34" s="4">
        <v>1.5049362600945884</v>
      </c>
      <c r="D34" s="4">
        <v>0.48768229899183685</v>
      </c>
    </row>
    <row r="35" spans="1:4" x14ac:dyDescent="0.25">
      <c r="A35">
        <v>11</v>
      </c>
      <c r="B35" s="4">
        <v>-5.5774278476079608</v>
      </c>
      <c r="C35" s="4">
        <v>-3.4225721523920392</v>
      </c>
      <c r="D35" s="4">
        <v>-1.1091020264466755</v>
      </c>
    </row>
    <row r="36" spans="1:4" x14ac:dyDescent="0.25">
      <c r="A36">
        <v>12</v>
      </c>
      <c r="B36" s="4">
        <v>-5.5376783614937235</v>
      </c>
      <c r="C36" s="4">
        <v>0.5376783614937235</v>
      </c>
      <c r="D36" s="4">
        <v>0.17423742546740298</v>
      </c>
    </row>
    <row r="37" spans="1:4" x14ac:dyDescent="0.25">
      <c r="A37">
        <v>13</v>
      </c>
      <c r="B37" s="4">
        <v>-5.5580629369874304</v>
      </c>
      <c r="C37" s="4">
        <v>-1.4419370630125696</v>
      </c>
      <c r="D37" s="4">
        <v>-0.46726708667868039</v>
      </c>
    </row>
    <row r="38" spans="1:4" x14ac:dyDescent="0.25">
      <c r="A38">
        <v>14</v>
      </c>
      <c r="B38" s="4">
        <v>-5.5270689988818864</v>
      </c>
      <c r="C38" s="4">
        <v>2.5270689988818864</v>
      </c>
      <c r="D38" s="4">
        <v>0.81890964538807687</v>
      </c>
    </row>
    <row r="39" spans="1:4" x14ac:dyDescent="0.25">
      <c r="A39">
        <v>15</v>
      </c>
      <c r="B39" s="4">
        <v>-5.5049362600945884</v>
      </c>
      <c r="C39" s="4">
        <v>-4.4950637399054116</v>
      </c>
      <c r="D39" s="4">
        <v>-1.4566484155642136</v>
      </c>
    </row>
    <row r="40" spans="1:4" x14ac:dyDescent="0.25">
      <c r="A40">
        <v>16</v>
      </c>
      <c r="B40" s="4">
        <v>-5.4433436248199598</v>
      </c>
      <c r="C40" s="4">
        <v>4.4433436248199598</v>
      </c>
      <c r="D40" s="4">
        <v>1.4398882475107107</v>
      </c>
    </row>
    <row r="41" spans="1:4" x14ac:dyDescent="0.25">
      <c r="A41">
        <v>17</v>
      </c>
      <c r="B41" s="4">
        <v>-5.4691676929139099</v>
      </c>
      <c r="C41" s="4">
        <v>2.4691676929139099</v>
      </c>
      <c r="D41" s="4">
        <v>0.80014643078700287</v>
      </c>
    </row>
    <row r="42" spans="1:4" x14ac:dyDescent="0.25">
      <c r="A42">
        <v>18</v>
      </c>
      <c r="B42" s="4">
        <v>-5.5774278476079608</v>
      </c>
      <c r="C42" s="4">
        <v>0.57742784760796084</v>
      </c>
      <c r="D42" s="4">
        <v>0.18711844992402479</v>
      </c>
    </row>
    <row r="43" spans="1:4" x14ac:dyDescent="0.25">
      <c r="A43">
        <v>19</v>
      </c>
      <c r="B43" s="4">
        <v>-5.188072172718087</v>
      </c>
      <c r="C43" s="4">
        <v>0.18807217271808696</v>
      </c>
      <c r="D43" s="4">
        <v>6.0945750328177825E-2</v>
      </c>
    </row>
    <row r="44" spans="1:4" x14ac:dyDescent="0.25">
      <c r="A44">
        <v>20</v>
      </c>
      <c r="B44" s="4">
        <v>-5.4156734625887895</v>
      </c>
      <c r="C44" s="4">
        <v>4.4156734625887895</v>
      </c>
      <c r="D44" s="4">
        <v>1.430921589793575</v>
      </c>
    </row>
    <row r="45" spans="1:4" x14ac:dyDescent="0.25">
      <c r="A45">
        <v>21</v>
      </c>
      <c r="B45" s="4">
        <v>-5.62198470717526</v>
      </c>
      <c r="C45" s="4">
        <v>6.62198470717526</v>
      </c>
      <c r="D45" s="4">
        <v>2.1458880429135521</v>
      </c>
    </row>
    <row r="46" spans="1:4" x14ac:dyDescent="0.25">
      <c r="A46">
        <v>22</v>
      </c>
      <c r="B46" s="4">
        <v>-5.5049362600945884</v>
      </c>
      <c r="C46" s="4">
        <v>-4.4950637399054116</v>
      </c>
      <c r="D46" s="4">
        <v>-1.4566484155642136</v>
      </c>
    </row>
    <row r="47" spans="1:4" x14ac:dyDescent="0.25">
      <c r="A47">
        <v>23</v>
      </c>
      <c r="B47" s="4">
        <v>-5.5580629369874304</v>
      </c>
      <c r="C47" s="4">
        <v>2.5580629369874304</v>
      </c>
      <c r="D47" s="4">
        <v>0.82895338969201993</v>
      </c>
    </row>
    <row r="48" spans="1:4" x14ac:dyDescent="0.25">
      <c r="A48">
        <v>24</v>
      </c>
      <c r="B48" s="4">
        <v>-5.6464486842613502</v>
      </c>
      <c r="C48" s="4">
        <v>-3.3535513157386498</v>
      </c>
      <c r="D48" s="4">
        <v>-1.0867354710050854</v>
      </c>
    </row>
    <row r="49" spans="1:4" x14ac:dyDescent="0.25">
      <c r="A49">
        <v>25</v>
      </c>
      <c r="B49" s="4">
        <v>-5.3363734796871576</v>
      </c>
      <c r="C49" s="4">
        <v>-0.66362652031284242</v>
      </c>
      <c r="D49" s="4">
        <v>-0.21505157107303571</v>
      </c>
    </row>
    <row r="50" spans="1:4" x14ac:dyDescent="0.25">
      <c r="A50">
        <v>26</v>
      </c>
      <c r="B50" s="4">
        <v>-5.6384645351749825</v>
      </c>
      <c r="C50" s="4">
        <v>3.6384645351749825</v>
      </c>
      <c r="D50" s="4">
        <v>1.1790630582606036</v>
      </c>
    </row>
    <row r="51" spans="1:4" x14ac:dyDescent="0.25">
      <c r="A51">
        <v>27</v>
      </c>
      <c r="B51" s="4">
        <v>-5.4564708993070195</v>
      </c>
      <c r="C51" s="4">
        <v>3.4564708993070195</v>
      </c>
      <c r="D51" s="4">
        <v>1.1200870889153018</v>
      </c>
    </row>
    <row r="52" spans="1:4" x14ac:dyDescent="0.25">
      <c r="A52">
        <v>28</v>
      </c>
      <c r="B52" s="4">
        <v>-5.4433436248199598</v>
      </c>
      <c r="C52" s="4">
        <v>-2.5566563751800402</v>
      </c>
      <c r="D52" s="4">
        <v>-0.82849758613801483</v>
      </c>
    </row>
    <row r="53" spans="1:4" x14ac:dyDescent="0.25">
      <c r="A53">
        <v>29</v>
      </c>
      <c r="B53" s="4">
        <v>-5.4433436248199598</v>
      </c>
      <c r="C53" s="4">
        <v>-3.5566563751800402</v>
      </c>
      <c r="D53" s="4">
        <v>-1.1525527052306899</v>
      </c>
    </row>
    <row r="54" spans="1:4" x14ac:dyDescent="0.25">
      <c r="A54">
        <v>30</v>
      </c>
      <c r="B54" s="4">
        <v>-5.5480047737737657</v>
      </c>
      <c r="C54" s="4">
        <v>3.5480047737737657</v>
      </c>
      <c r="D54" s="4">
        <v>1.1497491095066372</v>
      </c>
    </row>
    <row r="55" spans="1:4" x14ac:dyDescent="0.25">
      <c r="A55">
        <v>31</v>
      </c>
      <c r="B55" s="4">
        <v>-5.5376783614937235</v>
      </c>
      <c r="C55" s="4">
        <v>-2.4623216385062765</v>
      </c>
      <c r="D55" s="4">
        <v>-0.79792793181062227</v>
      </c>
    </row>
    <row r="56" spans="1:4" x14ac:dyDescent="0.25">
      <c r="A56">
        <v>32</v>
      </c>
      <c r="B56" s="4">
        <v>-5.6911772969970587</v>
      </c>
      <c r="C56" s="4">
        <v>-3.3088227030029413</v>
      </c>
      <c r="D56" s="4">
        <v>-1.0722409350781652</v>
      </c>
    </row>
    <row r="57" spans="1:4" x14ac:dyDescent="0.25">
      <c r="A57">
        <v>33</v>
      </c>
      <c r="B57" s="4">
        <v>-5.5480047737737657</v>
      </c>
      <c r="C57" s="4">
        <v>-1.4519952262262343</v>
      </c>
      <c r="D57" s="4">
        <v>-0.47052648595673807</v>
      </c>
    </row>
    <row r="58" spans="1:4" x14ac:dyDescent="0.25">
      <c r="A58">
        <v>34</v>
      </c>
      <c r="B58" s="4">
        <v>-5.4156734625887895</v>
      </c>
      <c r="C58" s="4">
        <v>3.4156734625887895</v>
      </c>
      <c r="D58" s="4">
        <v>1.1068664707008999</v>
      </c>
    </row>
    <row r="59" spans="1:4" x14ac:dyDescent="0.25">
      <c r="A59">
        <v>35</v>
      </c>
      <c r="B59" s="4">
        <v>-5.6047722062760901</v>
      </c>
      <c r="C59" s="4">
        <v>0.60477220627609007</v>
      </c>
      <c r="D59" s="4">
        <v>0.19597952932873822</v>
      </c>
    </row>
    <row r="60" spans="1:4" x14ac:dyDescent="0.25">
      <c r="A60">
        <v>36</v>
      </c>
      <c r="B60" s="4">
        <v>-5.6384645351749825</v>
      </c>
      <c r="C60" s="4">
        <v>2.6384645351749825</v>
      </c>
      <c r="D60" s="4">
        <v>0.8550079391679285</v>
      </c>
    </row>
    <row r="61" spans="1:4" x14ac:dyDescent="0.25">
      <c r="A61">
        <v>37</v>
      </c>
      <c r="B61" s="4">
        <v>-5.5161607419967513</v>
      </c>
      <c r="C61" s="4">
        <v>-0.48383925800324867</v>
      </c>
      <c r="D61" s="4">
        <v>-0.15679058837395429</v>
      </c>
    </row>
    <row r="62" spans="1:4" x14ac:dyDescent="0.25">
      <c r="A62">
        <v>38</v>
      </c>
      <c r="B62" s="4">
        <v>-5.5161607419967513</v>
      </c>
      <c r="C62" s="4">
        <v>-4.4838392580032487</v>
      </c>
      <c r="D62" s="4">
        <v>-1.4530110647446546</v>
      </c>
    </row>
    <row r="63" spans="1:4" x14ac:dyDescent="0.25">
      <c r="A63">
        <v>39</v>
      </c>
      <c r="B63" s="4">
        <v>-5.4297556512757819</v>
      </c>
      <c r="C63" s="4">
        <v>1.4297556512757819</v>
      </c>
      <c r="D63" s="4">
        <v>0.46331963784759872</v>
      </c>
    </row>
    <row r="64" spans="1:4" x14ac:dyDescent="0.25">
      <c r="A64">
        <v>40</v>
      </c>
      <c r="B64" s="4">
        <v>-5.5580629369874304</v>
      </c>
      <c r="C64" s="4">
        <v>-1.4419370630125696</v>
      </c>
      <c r="D64" s="4">
        <v>-0.46726708667868039</v>
      </c>
    </row>
    <row r="65" spans="1:4" x14ac:dyDescent="0.25">
      <c r="A65">
        <v>41</v>
      </c>
      <c r="B65" s="4">
        <v>-5.5480047737737657</v>
      </c>
      <c r="C65" s="4">
        <v>3.5480047737737657</v>
      </c>
      <c r="D65" s="4">
        <v>1.1497491095066372</v>
      </c>
    </row>
    <row r="66" spans="1:4" x14ac:dyDescent="0.25">
      <c r="A66">
        <v>42</v>
      </c>
      <c r="B66" s="4">
        <v>-5.5161607419967513</v>
      </c>
      <c r="C66" s="4">
        <v>1.5161607419967513</v>
      </c>
      <c r="D66" s="4">
        <v>0.49131964981139586</v>
      </c>
    </row>
    <row r="67" spans="1:4" x14ac:dyDescent="0.25">
      <c r="A67">
        <v>43</v>
      </c>
      <c r="B67" s="4">
        <v>-5.5678664356001164</v>
      </c>
      <c r="C67" s="4">
        <v>-4.4321335643998836</v>
      </c>
      <c r="D67" s="4">
        <v>-1.4362555700462467</v>
      </c>
    </row>
    <row r="68" spans="1:4" x14ac:dyDescent="0.25">
      <c r="A68">
        <v>44</v>
      </c>
      <c r="B68" s="4">
        <v>-5.6047722062760901</v>
      </c>
      <c r="C68" s="4">
        <v>-4.3952277937239099</v>
      </c>
      <c r="D68" s="4">
        <v>-1.4242960661346371</v>
      </c>
    </row>
    <row r="69" spans="1:4" x14ac:dyDescent="0.25">
      <c r="A69">
        <v>45</v>
      </c>
      <c r="B69" s="4">
        <v>-5.4564708993070195</v>
      </c>
      <c r="C69" s="4">
        <v>-3.5435291006929805</v>
      </c>
      <c r="D69" s="4">
        <v>-1.1482987447334236</v>
      </c>
    </row>
    <row r="70" spans="1:4" x14ac:dyDescent="0.25">
      <c r="A70">
        <v>46</v>
      </c>
      <c r="B70" s="4">
        <v>-5.5958702622309335</v>
      </c>
      <c r="C70" s="4">
        <v>-4.4041297377690665</v>
      </c>
      <c r="D70" s="4">
        <v>-1.4271807866723467</v>
      </c>
    </row>
    <row r="71" spans="1:4" x14ac:dyDescent="0.25">
      <c r="A71">
        <v>47</v>
      </c>
      <c r="B71" s="4">
        <v>-5.5958702622309335</v>
      </c>
      <c r="C71" s="4">
        <v>-4.4041297377690665</v>
      </c>
      <c r="D71" s="4">
        <v>-1.4271807866723467</v>
      </c>
    </row>
    <row r="72" spans="1:4" x14ac:dyDescent="0.25">
      <c r="A72">
        <v>48</v>
      </c>
      <c r="B72" s="4">
        <v>-5.4156734625887895</v>
      </c>
      <c r="C72" s="4">
        <v>-1.5843265374112105</v>
      </c>
      <c r="D72" s="4">
        <v>-0.51340912476247536</v>
      </c>
    </row>
    <row r="73" spans="1:4" x14ac:dyDescent="0.25">
      <c r="A73">
        <v>49</v>
      </c>
      <c r="B73" s="4">
        <v>-5.6464486842613502</v>
      </c>
      <c r="C73" s="4">
        <v>6.6464486842613502</v>
      </c>
      <c r="D73" s="4">
        <v>2.1538157199216652</v>
      </c>
    </row>
    <row r="74" spans="1:4" x14ac:dyDescent="0.25">
      <c r="A74">
        <v>50</v>
      </c>
      <c r="B74" s="4">
        <v>-5.5161607419967513</v>
      </c>
      <c r="C74" s="4">
        <v>7.5161607419967513</v>
      </c>
      <c r="D74" s="4">
        <v>2.4356503643674463</v>
      </c>
    </row>
    <row r="75" spans="1:4" x14ac:dyDescent="0.25">
      <c r="A75">
        <v>51</v>
      </c>
      <c r="B75" s="4">
        <v>-5.5270689988818864</v>
      </c>
      <c r="C75" s="4">
        <v>-4.4729310011181136</v>
      </c>
      <c r="D75" s="4">
        <v>-1.4494761882606486</v>
      </c>
    </row>
    <row r="76" spans="1:4" x14ac:dyDescent="0.25">
      <c r="A76">
        <v>52</v>
      </c>
      <c r="B76" s="4">
        <v>-5.188072172718087</v>
      </c>
      <c r="C76" s="4">
        <v>3.188072172718087</v>
      </c>
      <c r="D76" s="4">
        <v>1.0331111076062029</v>
      </c>
    </row>
    <row r="77" spans="1:4" x14ac:dyDescent="0.25">
      <c r="A77">
        <v>53</v>
      </c>
      <c r="B77" s="4">
        <v>-5.4933766699829931</v>
      </c>
      <c r="C77" s="4">
        <v>-0.50662333001700688</v>
      </c>
      <c r="D77" s="4">
        <v>-0.16417388354378878</v>
      </c>
    </row>
    <row r="78" spans="1:4" x14ac:dyDescent="0.25">
      <c r="A78">
        <v>54</v>
      </c>
      <c r="B78" s="4">
        <v>-5.4156734625887895</v>
      </c>
      <c r="C78" s="4">
        <v>-1.5843265374112105</v>
      </c>
      <c r="D78" s="4">
        <v>-0.51340912476247536</v>
      </c>
    </row>
    <row r="79" spans="1:4" x14ac:dyDescent="0.25">
      <c r="A79">
        <v>55</v>
      </c>
      <c r="B79" s="4">
        <v>-5.5958702622309335</v>
      </c>
      <c r="C79" s="4">
        <v>2.5958702622309335</v>
      </c>
      <c r="D79" s="4">
        <v>0.84120504697637888</v>
      </c>
    </row>
    <row r="80" spans="1:4" x14ac:dyDescent="0.25">
      <c r="A80">
        <v>56</v>
      </c>
      <c r="B80" s="4">
        <v>-5.6303122864498434</v>
      </c>
      <c r="C80" s="4">
        <v>-1.3696877135501566</v>
      </c>
      <c r="D80" s="4">
        <v>-0.44385431513426982</v>
      </c>
    </row>
    <row r="81" spans="1:4" x14ac:dyDescent="0.25">
      <c r="A81">
        <v>57</v>
      </c>
      <c r="B81" s="4">
        <v>-5.4933766699829931</v>
      </c>
      <c r="C81" s="4">
        <v>-0.50662333001700688</v>
      </c>
      <c r="D81" s="4">
        <v>-0.16417388354378878</v>
      </c>
    </row>
    <row r="82" spans="1:4" x14ac:dyDescent="0.25">
      <c r="A82">
        <v>58</v>
      </c>
      <c r="B82" s="4">
        <v>-5.4297556512757819</v>
      </c>
      <c r="C82" s="4">
        <v>-3.5702443487242181</v>
      </c>
      <c r="D82" s="4">
        <v>-1.1569559576157766</v>
      </c>
    </row>
    <row r="83" spans="1:4" x14ac:dyDescent="0.25">
      <c r="A83">
        <v>59</v>
      </c>
      <c r="B83" s="4">
        <v>-5.5774278476079608</v>
      </c>
      <c r="C83" s="4">
        <v>0.57742784760796084</v>
      </c>
      <c r="D83" s="4">
        <v>0.18711844992402479</v>
      </c>
    </row>
    <row r="84" spans="1:4" x14ac:dyDescent="0.25">
      <c r="A84">
        <v>60</v>
      </c>
      <c r="B84" s="4">
        <v>-5.718361615360438</v>
      </c>
      <c r="C84" s="4">
        <v>4.718361615360438</v>
      </c>
      <c r="D84" s="4">
        <v>1.5290092351879334</v>
      </c>
    </row>
    <row r="85" spans="1:4" x14ac:dyDescent="0.25">
      <c r="A85">
        <v>61</v>
      </c>
      <c r="B85" s="4">
        <v>-5.3535859805863275</v>
      </c>
      <c r="C85" s="4">
        <v>0.35358598058632751</v>
      </c>
      <c r="D85" s="4">
        <v>0.11458134704840266</v>
      </c>
    </row>
    <row r="86" spans="1:4" x14ac:dyDescent="0.25">
      <c r="A86">
        <v>62</v>
      </c>
      <c r="B86" s="4">
        <v>-5.5580629369874304</v>
      </c>
      <c r="C86" s="4">
        <v>1.5580629369874304</v>
      </c>
      <c r="D86" s="4">
        <v>0.50489827059934489</v>
      </c>
    </row>
    <row r="87" spans="1:4" x14ac:dyDescent="0.25">
      <c r="A87">
        <v>63</v>
      </c>
      <c r="B87" s="4">
        <v>-5.5376783614937235</v>
      </c>
      <c r="C87" s="4">
        <v>2.5376783614937235</v>
      </c>
      <c r="D87" s="4">
        <v>0.82234766365275314</v>
      </c>
    </row>
    <row r="88" spans="1:4" x14ac:dyDescent="0.25">
      <c r="A88">
        <v>64</v>
      </c>
      <c r="B88" s="4">
        <v>-5.6464486842613502</v>
      </c>
      <c r="C88" s="4">
        <v>3.6464486842613502</v>
      </c>
      <c r="D88" s="4">
        <v>1.1816503626436401</v>
      </c>
    </row>
    <row r="89" spans="1:4" x14ac:dyDescent="0.25">
      <c r="A89">
        <v>65</v>
      </c>
      <c r="B89" s="4">
        <v>-5.4010597466915939</v>
      </c>
      <c r="C89" s="4">
        <v>-1.5989402533084061</v>
      </c>
      <c r="D89" s="4">
        <v>-0.51814477420792759</v>
      </c>
    </row>
    <row r="90" spans="1:4" x14ac:dyDescent="0.25">
      <c r="A90">
        <v>66</v>
      </c>
      <c r="B90" s="4">
        <v>-5.2994677090111839</v>
      </c>
      <c r="C90" s="4">
        <v>2.2994677090111839</v>
      </c>
      <c r="D90" s="4">
        <v>0.74515428229337988</v>
      </c>
    </row>
    <row r="91" spans="1:4" x14ac:dyDescent="0.25">
      <c r="A91">
        <v>67</v>
      </c>
      <c r="B91" s="4">
        <v>-5.6384645351749825</v>
      </c>
      <c r="C91" s="4">
        <v>-3.3615354648250175</v>
      </c>
      <c r="D91" s="4">
        <v>-1.0893227753881218</v>
      </c>
    </row>
    <row r="92" spans="1:4" x14ac:dyDescent="0.25">
      <c r="A92">
        <v>68</v>
      </c>
      <c r="B92" s="4">
        <v>-5.4814613448791469</v>
      </c>
      <c r="C92" s="4">
        <v>-4.5185386551208531</v>
      </c>
      <c r="D92" s="4">
        <v>-1.4642555820100438</v>
      </c>
    </row>
    <row r="93" spans="1:4" x14ac:dyDescent="0.25">
      <c r="A93">
        <v>69</v>
      </c>
      <c r="B93" s="4">
        <v>-5.6694584732805273</v>
      </c>
      <c r="C93" s="4">
        <v>-2.3305415267194727</v>
      </c>
      <c r="D93" s="4">
        <v>-0.75522391199150352</v>
      </c>
    </row>
    <row r="94" spans="1:4" x14ac:dyDescent="0.25">
      <c r="A94">
        <v>70</v>
      </c>
      <c r="B94" s="4">
        <v>-5.5958702622309335</v>
      </c>
      <c r="C94" s="4">
        <v>4.5958702622309335</v>
      </c>
      <c r="D94" s="4">
        <v>1.4893152851617291</v>
      </c>
    </row>
    <row r="95" spans="1:4" x14ac:dyDescent="0.25">
      <c r="A95">
        <v>71</v>
      </c>
      <c r="B95" s="4">
        <v>-5.6464486842613502</v>
      </c>
      <c r="C95" s="4">
        <v>3.6464486842613502</v>
      </c>
      <c r="D95" s="4">
        <v>1.1816503626436401</v>
      </c>
    </row>
    <row r="96" spans="1:4" x14ac:dyDescent="0.25">
      <c r="A96">
        <v>72</v>
      </c>
      <c r="B96" s="4">
        <v>-5.5580629369874304</v>
      </c>
      <c r="C96" s="4">
        <v>-1.4419370630125696</v>
      </c>
      <c r="D96" s="4">
        <v>-0.46726708667868039</v>
      </c>
    </row>
    <row r="97" spans="1:4" x14ac:dyDescent="0.25">
      <c r="A97">
        <v>73</v>
      </c>
      <c r="B97" s="4">
        <v>-5.5867588415716183</v>
      </c>
      <c r="C97" s="4">
        <v>2.5867588415716183</v>
      </c>
      <c r="D97" s="4">
        <v>0.83825244446952096</v>
      </c>
    </row>
    <row r="98" spans="1:4" x14ac:dyDescent="0.25">
      <c r="A98">
        <v>74</v>
      </c>
      <c r="B98" s="4">
        <v>-5.5376783614937235</v>
      </c>
      <c r="C98" s="4">
        <v>0.5376783614937235</v>
      </c>
      <c r="D98" s="4">
        <v>0.17423742546740298</v>
      </c>
    </row>
    <row r="99" spans="1:4" x14ac:dyDescent="0.25">
      <c r="A99">
        <v>75</v>
      </c>
      <c r="B99" s="4">
        <v>-5.4564708993070195</v>
      </c>
      <c r="C99" s="4">
        <v>1.4564708993070195</v>
      </c>
      <c r="D99" s="4">
        <v>0.47197685072995177</v>
      </c>
    </row>
    <row r="100" spans="1:4" x14ac:dyDescent="0.25">
      <c r="A100">
        <v>76</v>
      </c>
      <c r="B100" s="4">
        <v>-5.4156734625887895</v>
      </c>
      <c r="C100" s="4">
        <v>1.4156734625887895</v>
      </c>
      <c r="D100" s="4">
        <v>0.45875623251554987</v>
      </c>
    </row>
    <row r="101" spans="1:4" x14ac:dyDescent="0.25">
      <c r="A101">
        <v>77</v>
      </c>
      <c r="B101" s="4">
        <v>-5.2586702722929539</v>
      </c>
      <c r="C101" s="4">
        <v>0.25867027229295392</v>
      </c>
      <c r="D101" s="4">
        <v>8.3823425893627873E-2</v>
      </c>
    </row>
    <row r="102" spans="1:4" x14ac:dyDescent="0.25">
      <c r="A102">
        <v>78</v>
      </c>
      <c r="B102" s="4">
        <v>-5.5867588415716183</v>
      </c>
      <c r="C102" s="4">
        <v>-1.4132411584283817</v>
      </c>
      <c r="D102" s="4">
        <v>-0.4579680319011793</v>
      </c>
    </row>
    <row r="103" spans="1:4" x14ac:dyDescent="0.25">
      <c r="A103">
        <v>79</v>
      </c>
      <c r="B103" s="4">
        <v>-5.37006580858605</v>
      </c>
      <c r="C103" s="4">
        <v>-2.62993419141395</v>
      </c>
      <c r="D103" s="4">
        <v>-0.85224363760454569</v>
      </c>
    </row>
    <row r="104" spans="1:4" x14ac:dyDescent="0.25">
      <c r="A104">
        <v>80</v>
      </c>
      <c r="B104" s="4">
        <v>-5.4691676929139099</v>
      </c>
      <c r="C104" s="4">
        <v>-4.5308323070860901</v>
      </c>
      <c r="D104" s="4">
        <v>-1.4682394028617227</v>
      </c>
    </row>
    <row r="105" spans="1:4" x14ac:dyDescent="0.25">
      <c r="A105">
        <v>81</v>
      </c>
      <c r="B105" s="4">
        <v>-5.4156734625887895</v>
      </c>
      <c r="C105" s="4">
        <v>0.41567346258878946</v>
      </c>
      <c r="D105" s="4">
        <v>0.13470111342287477</v>
      </c>
    </row>
    <row r="106" spans="1:4" x14ac:dyDescent="0.25">
      <c r="A106">
        <v>82</v>
      </c>
      <c r="B106" s="4">
        <v>-5.5049362600945884</v>
      </c>
      <c r="C106" s="4">
        <v>-0.49506373990541164</v>
      </c>
      <c r="D106" s="4">
        <v>-0.16042793919351328</v>
      </c>
    </row>
    <row r="107" spans="1:4" x14ac:dyDescent="0.25">
      <c r="A107">
        <v>83</v>
      </c>
      <c r="B107" s="4">
        <v>-5.37006580858605</v>
      </c>
      <c r="C107" s="4">
        <v>0.37006580858604998</v>
      </c>
      <c r="D107" s="4">
        <v>0.11992171967347952</v>
      </c>
    </row>
    <row r="108" spans="1:4" x14ac:dyDescent="0.25">
      <c r="A108">
        <v>84</v>
      </c>
      <c r="B108" s="4">
        <v>-5.5958702622309335</v>
      </c>
      <c r="C108" s="4">
        <v>0.59587026223093353</v>
      </c>
      <c r="D108" s="4">
        <v>0.19309480879102869</v>
      </c>
    </row>
    <row r="109" spans="1:4" x14ac:dyDescent="0.25">
      <c r="A109">
        <v>85</v>
      </c>
      <c r="B109" s="4">
        <v>-5.62198470717526</v>
      </c>
      <c r="C109" s="4">
        <v>1.62198470717526</v>
      </c>
      <c r="D109" s="4">
        <v>0.52561244745017655</v>
      </c>
    </row>
    <row r="110" spans="1:4" x14ac:dyDescent="0.25">
      <c r="A110">
        <v>86</v>
      </c>
      <c r="B110" s="4">
        <v>-5.5376783614937235</v>
      </c>
      <c r="C110" s="4">
        <v>-2.4623216385062765</v>
      </c>
      <c r="D110" s="4">
        <v>-0.79792793181062227</v>
      </c>
    </row>
    <row r="111" spans="1:4" x14ac:dyDescent="0.25">
      <c r="A111">
        <v>87</v>
      </c>
      <c r="B111" s="4">
        <v>-5.5161607419967513</v>
      </c>
      <c r="C111" s="4">
        <v>-0.48383925800324867</v>
      </c>
      <c r="D111" s="4">
        <v>-0.15679058837395429</v>
      </c>
    </row>
    <row r="112" spans="1:4" x14ac:dyDescent="0.25">
      <c r="A112">
        <v>88</v>
      </c>
      <c r="B112" s="4">
        <v>-5.4297556512757819</v>
      </c>
      <c r="C112" s="4">
        <v>-1.5702443487242181</v>
      </c>
      <c r="D112" s="4">
        <v>-0.50884571943042656</v>
      </c>
    </row>
    <row r="113" spans="1:4" x14ac:dyDescent="0.25">
      <c r="A113">
        <v>89</v>
      </c>
      <c r="B113" s="4">
        <v>-5.3363734796871576</v>
      </c>
      <c r="C113" s="4">
        <v>4.3363734796871576</v>
      </c>
      <c r="D113" s="4">
        <v>1.4052240243903396</v>
      </c>
    </row>
    <row r="114" spans="1:4" ht="15.75" thickBot="1" x14ac:dyDescent="0.3">
      <c r="A114" s="1">
        <v>90</v>
      </c>
      <c r="B114" s="5">
        <v>-5.5161607419967513</v>
      </c>
      <c r="C114" s="5">
        <v>-4.4838392580032487</v>
      </c>
      <c r="D114" s="5">
        <v>-1.4530110647446546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A078-3427-40D6-B476-51E4B4AC6F55}">
  <dimension ref="A1:T91"/>
  <sheetViews>
    <sheetView workbookViewId="0">
      <selection sqref="A1:A91"/>
    </sheetView>
  </sheetViews>
  <sheetFormatPr defaultRowHeight="15" x14ac:dyDescent="0.25"/>
  <cols>
    <col min="3" max="3" width="27.140625" bestFit="1" customWidth="1"/>
    <col min="4" max="4" width="10.42578125" bestFit="1" customWidth="1"/>
    <col min="5" max="5" width="26.5703125" bestFit="1" customWidth="1"/>
    <col min="6" max="6" width="14" bestFit="1" customWidth="1"/>
    <col min="7" max="7" width="31" customWidth="1"/>
    <col min="8" max="8" width="17.7109375" bestFit="1" customWidth="1"/>
  </cols>
  <sheetData>
    <row r="1" spans="1:9" x14ac:dyDescent="0.25">
      <c r="A1" t="s">
        <v>1</v>
      </c>
      <c r="B1" t="s">
        <v>2</v>
      </c>
      <c r="C1" s="7" t="s">
        <v>61</v>
      </c>
      <c r="D1" s="7" t="s">
        <v>29</v>
      </c>
      <c r="E1" s="7" t="s">
        <v>37</v>
      </c>
      <c r="F1" s="7" t="s">
        <v>40</v>
      </c>
      <c r="G1" s="8" t="s">
        <v>20</v>
      </c>
      <c r="H1" s="8" t="s">
        <v>39</v>
      </c>
      <c r="I1" s="8" t="s">
        <v>35</v>
      </c>
    </row>
    <row r="2" spans="1:9" x14ac:dyDescent="0.25">
      <c r="A2">
        <v>233</v>
      </c>
      <c r="B2" s="13">
        <v>-7</v>
      </c>
      <c r="C2" s="4">
        <f t="shared" ref="C2:C33" si="0">$H$3+$H$2*A2</f>
        <v>-5.5097891948033091</v>
      </c>
      <c r="D2" s="4">
        <f>ABS(Таблица7[[#This Row],[Предсказанные значения]]-Таблица7[[#This Row],[Z]])</f>
        <v>1.4902108051966909</v>
      </c>
      <c r="E2" s="4">
        <f>ABS(Таблица7[[#This Row],[Остатки]]/Таблица7[[#This Row],[Z]])</f>
        <v>0.21288725788524157</v>
      </c>
      <c r="F2" s="4">
        <f>Таблица7[[#This Row],[Нормированные остатки]]-E3</f>
        <v>0.13165459507391059</v>
      </c>
      <c r="G2" s="8" t="s">
        <v>55</v>
      </c>
      <c r="H2" s="11">
        <v>-1.4144865973391123E-5</v>
      </c>
      <c r="I2" s="8" t="s">
        <v>33</v>
      </c>
    </row>
    <row r="3" spans="1:9" x14ac:dyDescent="0.25">
      <c r="A3">
        <v>432</v>
      </c>
      <c r="B3">
        <v>-6</v>
      </c>
      <c r="C3" s="4">
        <f t="shared" si="0"/>
        <v>-5.5126040231320141</v>
      </c>
      <c r="D3" s="4">
        <f>ABS(Таблица7[[#This Row],[Предсказанные значения]]-Таблица7[[#This Row],[Z]])</f>
        <v>0.48739597686798586</v>
      </c>
      <c r="E3" s="4">
        <f>ABS(Таблица7[[#This Row],[Остатки]]/Таблица7[[#This Row],[Z]])</f>
        <v>8.1232662811330972E-2</v>
      </c>
      <c r="F3" s="4">
        <f>Таблица7[[#This Row],[Нормированные остатки]]-E4</f>
        <v>-0.36757341574554259</v>
      </c>
      <c r="G3" s="8" t="s">
        <v>32</v>
      </c>
      <c r="H3" s="10">
        <v>-5.506493441031509</v>
      </c>
      <c r="I3" s="8" t="s">
        <v>69</v>
      </c>
    </row>
    <row r="4" spans="1:9" x14ac:dyDescent="0.25">
      <c r="A4">
        <v>385</v>
      </c>
      <c r="B4" s="13">
        <v>-10</v>
      </c>
      <c r="C4" s="4">
        <f t="shared" si="0"/>
        <v>-5.5119392144312647</v>
      </c>
      <c r="D4" s="4">
        <f>ABS(Таблица7[[#This Row],[Предсказанные значения]]-Таблица7[[#This Row],[Z]])</f>
        <v>4.4880607855687353</v>
      </c>
      <c r="E4" s="4">
        <f>ABS(Таблица7[[#This Row],[Остатки]]/Таблица7[[#This Row],[Z]])</f>
        <v>0.44880607855687354</v>
      </c>
      <c r="F4" s="4">
        <f>Таблица7[[#This Row],[Нормированные остатки]]-E5</f>
        <v>-4.0625956309674027</v>
      </c>
    </row>
    <row r="5" spans="1:9" x14ac:dyDescent="0.25">
      <c r="A5">
        <v>347</v>
      </c>
      <c r="B5">
        <v>-1</v>
      </c>
      <c r="C5" s="4">
        <f t="shared" si="0"/>
        <v>-5.511401709524276</v>
      </c>
      <c r="D5" s="4">
        <f>ABS(Таблица7[[#This Row],[Предсказанные значения]]-Таблица7[[#This Row],[Z]])</f>
        <v>4.511401709524276</v>
      </c>
      <c r="E5" s="4">
        <f>ABS(Таблица7[[#This Row],[Остатки]]/Таблица7[[#This Row],[Z]])</f>
        <v>4.511401709524276</v>
      </c>
      <c r="F5" s="4">
        <f>Таблица7[[#This Row],[Нормированные остатки]]-E6</f>
        <v>2.7562171423701671</v>
      </c>
    </row>
    <row r="6" spans="1:9" x14ac:dyDescent="0.25">
      <c r="A6">
        <v>274</v>
      </c>
      <c r="B6" s="13">
        <v>-2</v>
      </c>
      <c r="C6" s="4">
        <f t="shared" si="0"/>
        <v>-5.5103691343082177</v>
      </c>
      <c r="D6" s="4">
        <f>ABS(Таблица7[[#This Row],[Предсказанные значения]]-Таблица7[[#This Row],[Z]])</f>
        <v>3.5103691343082177</v>
      </c>
      <c r="E6" s="4">
        <f>ABS(Таблица7[[#This Row],[Остатки]]/Таблица7[[#This Row],[Z]])</f>
        <v>1.7551845671541089</v>
      </c>
      <c r="F6" s="4">
        <f>Таблица7[[#This Row],[Нормированные остатки]]-E7</f>
        <v>1.6735841378274696</v>
      </c>
    </row>
    <row r="7" spans="1:9" x14ac:dyDescent="0.25">
      <c r="A7">
        <v>276</v>
      </c>
      <c r="B7">
        <v>-6</v>
      </c>
      <c r="C7" s="4">
        <f t="shared" si="0"/>
        <v>-5.510397424040165</v>
      </c>
      <c r="D7" s="4">
        <f>ABS(Таблица7[[#This Row],[Предсказанные значения]]-Таблица7[[#This Row],[Z]])</f>
        <v>0.48960257595983503</v>
      </c>
      <c r="E7" s="4">
        <f>ABS(Таблица7[[#This Row],[Остатки]]/Таблица7[[#This Row],[Z]])</f>
        <v>8.1600429326639176E-2</v>
      </c>
      <c r="F7" s="4">
        <f>Таблица7[[#This Row],[Нормированные остатки]]-E8</f>
        <v>4.2434597920124051E-5</v>
      </c>
    </row>
    <row r="8" spans="1:9" x14ac:dyDescent="0.25">
      <c r="A8">
        <v>294</v>
      </c>
      <c r="B8" s="13">
        <v>-6</v>
      </c>
      <c r="C8" s="4">
        <f t="shared" si="0"/>
        <v>-5.5106520316276857</v>
      </c>
      <c r="D8" s="4">
        <f>ABS(Таблица7[[#This Row],[Предсказанные значения]]-Таблица7[[#This Row],[Z]])</f>
        <v>0.48934796837231431</v>
      </c>
      <c r="E8" s="4">
        <f>ABS(Таблица7[[#This Row],[Остатки]]/Таблица7[[#This Row],[Z]])</f>
        <v>8.1557994728719052E-2</v>
      </c>
      <c r="F8" s="4">
        <f>Таблица7[[#This Row],[Нормированные остатки]]-E9</f>
        <v>-2.0725176149330699E-2</v>
      </c>
    </row>
    <row r="9" spans="1:9" x14ac:dyDescent="0.25">
      <c r="A9">
        <v>348</v>
      </c>
      <c r="B9">
        <v>-5</v>
      </c>
      <c r="C9" s="4">
        <f t="shared" si="0"/>
        <v>-5.5114158543902487</v>
      </c>
      <c r="D9" s="4">
        <f>ABS(Таблица7[[#This Row],[Предсказанные значения]]-Таблица7[[#This Row],[Z]])</f>
        <v>0.51141585439024873</v>
      </c>
      <c r="E9" s="4">
        <f>ABS(Таблица7[[#This Row],[Остатки]]/Таблица7[[#This Row],[Z]])</f>
        <v>0.10228317087804975</v>
      </c>
      <c r="F9" s="4">
        <f>Таблица7[[#This Row],[Нормированные остатки]]-E10</f>
        <v>-0.34662192174063755</v>
      </c>
    </row>
    <row r="10" spans="1:9" x14ac:dyDescent="0.25">
      <c r="A10">
        <v>315</v>
      </c>
      <c r="B10" s="13">
        <v>-10</v>
      </c>
      <c r="C10" s="4">
        <f t="shared" si="0"/>
        <v>-5.5109490738131273</v>
      </c>
      <c r="D10" s="4">
        <f>ABS(Таблица7[[#This Row],[Предсказанные значения]]-Таблица7[[#This Row],[Z]])</f>
        <v>4.4890509261868727</v>
      </c>
      <c r="E10" s="4">
        <f>ABS(Таблица7[[#This Row],[Остатки]]/Таблица7[[#This Row],[Z]])</f>
        <v>0.44890509261868727</v>
      </c>
      <c r="F10" s="4">
        <f>Таблица7[[#This Row],[Нормированные остатки]]-E11</f>
        <v>7.1196113897352253E-2</v>
      </c>
    </row>
    <row r="11" spans="1:9" x14ac:dyDescent="0.25">
      <c r="A11">
        <v>307</v>
      </c>
      <c r="B11">
        <v>-4</v>
      </c>
      <c r="C11" s="4">
        <f t="shared" si="0"/>
        <v>-5.5108359148853401</v>
      </c>
      <c r="D11" s="4">
        <f>ABS(Таблица7[[#This Row],[Предсказанные значения]]-Таблица7[[#This Row],[Z]])</f>
        <v>1.5108359148853401</v>
      </c>
      <c r="E11" s="4">
        <f>ABS(Таблица7[[#This Row],[Остатки]]/Таблица7[[#This Row],[Z]])</f>
        <v>0.37770897872133502</v>
      </c>
      <c r="F11" s="4">
        <f>Таблица7[[#This Row],[Нормированные остатки]]-E12</f>
        <v>-9.8659040005008025E-3</v>
      </c>
    </row>
    <row r="12" spans="1:9" x14ac:dyDescent="0.25">
      <c r="A12">
        <v>377</v>
      </c>
      <c r="B12" s="13">
        <v>-9</v>
      </c>
      <c r="C12" s="4">
        <f t="shared" si="0"/>
        <v>-5.5118260555034775</v>
      </c>
      <c r="D12" s="4">
        <f>ABS(Таблица7[[#This Row],[Предсказанные значения]]-Таблица7[[#This Row],[Z]])</f>
        <v>3.4881739444965225</v>
      </c>
      <c r="E12" s="4">
        <f>ABS(Таблица7[[#This Row],[Остатки]]/Таблица7[[#This Row],[Z]])</f>
        <v>0.38757488272183582</v>
      </c>
      <c r="F12" s="4">
        <f>Таблица7[[#This Row],[Нормированные остатки]]-E13</f>
        <v>0.28532000157573278</v>
      </c>
    </row>
    <row r="13" spans="1:9" x14ac:dyDescent="0.25">
      <c r="A13">
        <v>338</v>
      </c>
      <c r="B13">
        <v>-5</v>
      </c>
      <c r="C13" s="4">
        <f t="shared" si="0"/>
        <v>-5.5112744057305152</v>
      </c>
      <c r="D13" s="4">
        <f>ABS(Таблица7[[#This Row],[Предсказанные значения]]-Таблица7[[#This Row],[Z]])</f>
        <v>0.51127440573051519</v>
      </c>
      <c r="E13" s="4">
        <f>ABS(Таблица7[[#This Row],[Остатки]]/Таблица7[[#This Row],[Z]])</f>
        <v>0.10225488114610304</v>
      </c>
      <c r="F13" s="4">
        <f>Таблица7[[#This Row],[Нормированные остатки]]-E14</f>
        <v>-0.11038989332245183</v>
      </c>
    </row>
    <row r="14" spans="1:9" x14ac:dyDescent="0.25">
      <c r="A14">
        <v>353</v>
      </c>
      <c r="B14" s="13">
        <v>-7</v>
      </c>
      <c r="C14" s="4">
        <f t="shared" si="0"/>
        <v>-5.5114865787201159</v>
      </c>
      <c r="D14" s="4">
        <f>ABS(Таблица7[[#This Row],[Предсказанные значения]]-Таблица7[[#This Row],[Z]])</f>
        <v>1.4885134212798841</v>
      </c>
      <c r="E14" s="4">
        <f>ABS(Таблица7[[#This Row],[Остатки]]/Таблица7[[#This Row],[Z]])</f>
        <v>0.21264477446855487</v>
      </c>
      <c r="F14" s="4">
        <f>Таблица7[[#This Row],[Нормированные остатки]]-E15</f>
        <v>-0.62441840437633656</v>
      </c>
    </row>
    <row r="15" spans="1:9" x14ac:dyDescent="0.25">
      <c r="A15">
        <v>332</v>
      </c>
      <c r="B15">
        <v>-3</v>
      </c>
      <c r="C15" s="4">
        <f t="shared" si="0"/>
        <v>-5.5111895365346744</v>
      </c>
      <c r="D15" s="4">
        <f>ABS(Таблица7[[#This Row],[Предсказанные значения]]-Таблица7[[#This Row],[Z]])</f>
        <v>2.5111895365346744</v>
      </c>
      <c r="E15" s="4">
        <f>ABS(Таблица7[[#This Row],[Остатки]]/Таблица7[[#This Row],[Z]])</f>
        <v>0.83706317884489145</v>
      </c>
      <c r="F15" s="4">
        <f>Таблица7[[#This Row],[Нормированные остатки]]-E16</f>
        <v>0.38814677033342548</v>
      </c>
    </row>
    <row r="16" spans="1:9" x14ac:dyDescent="0.25">
      <c r="A16">
        <v>307</v>
      </c>
      <c r="B16" s="13">
        <v>-10</v>
      </c>
      <c r="C16" s="4">
        <f t="shared" si="0"/>
        <v>-5.5108359148853401</v>
      </c>
      <c r="D16" s="4">
        <f>ABS(Таблица7[[#This Row],[Предсказанные значения]]-Таблица7[[#This Row],[Z]])</f>
        <v>4.4891640851146599</v>
      </c>
      <c r="E16" s="4">
        <f>ABS(Таблица7[[#This Row],[Остатки]]/Таблица7[[#This Row],[Z]])</f>
        <v>0.44891640851146597</v>
      </c>
      <c r="F16" s="4">
        <f>Таблица7[[#This Row],[Нормированные остатки]]-E17</f>
        <v>-4.0613112771370181</v>
      </c>
    </row>
    <row r="17" spans="1:20" x14ac:dyDescent="0.25">
      <c r="A17">
        <v>264</v>
      </c>
      <c r="B17">
        <v>-1</v>
      </c>
      <c r="C17" s="4">
        <f t="shared" si="0"/>
        <v>-5.5102276856484842</v>
      </c>
      <c r="D17" s="4">
        <f>ABS(Таблица7[[#This Row],[Предсказанные значения]]-Таблица7[[#This Row],[Z]])</f>
        <v>4.5102276856484842</v>
      </c>
      <c r="E17" s="4">
        <f>ABS(Таблица7[[#This Row],[Остатки]]/Таблица7[[#This Row],[Z]])</f>
        <v>4.5102276856484842</v>
      </c>
      <c r="F17" s="4">
        <f>Таблица7[[#This Row],[Нормированные остатки]]-E18</f>
        <v>3.6733861097038423</v>
      </c>
    </row>
    <row r="18" spans="1:20" x14ac:dyDescent="0.25">
      <c r="A18">
        <v>285</v>
      </c>
      <c r="B18" s="13">
        <v>-3</v>
      </c>
      <c r="C18" s="4">
        <f t="shared" si="0"/>
        <v>-5.5105247278339258</v>
      </c>
      <c r="D18" s="4">
        <f>ABS(Таблица7[[#This Row],[Предсказанные значения]]-Таблица7[[#This Row],[Z]])</f>
        <v>2.5105247278339258</v>
      </c>
      <c r="E18" s="4">
        <f>ABS(Таблица7[[#This Row],[Остатки]]/Таблица7[[#This Row],[Z]])</f>
        <v>0.83684157594464192</v>
      </c>
      <c r="F18" s="4">
        <f>Таблица7[[#This Row],[Нормированные остатки]]-E19</f>
        <v>0.73447636484394641</v>
      </c>
    </row>
    <row r="19" spans="1:20" ht="15" customHeight="1" x14ac:dyDescent="0.25">
      <c r="A19">
        <v>377</v>
      </c>
      <c r="B19">
        <v>-5</v>
      </c>
      <c r="C19" s="4">
        <f t="shared" si="0"/>
        <v>-5.5118260555034775</v>
      </c>
      <c r="D19" s="4">
        <f>ABS(Таблица7[[#This Row],[Предсказанные значения]]-Таблица7[[#This Row],[Z]])</f>
        <v>0.51182605550347748</v>
      </c>
      <c r="E19" s="4">
        <f>ABS(Таблица7[[#This Row],[Остатки]]/Таблица7[[#This Row],[Z]])</f>
        <v>0.10236521110069549</v>
      </c>
      <c r="F19" s="4">
        <f>Таблица7[[#This Row],[Нормированные остатки]]-E20</f>
        <v>6.7895356672273421E-4</v>
      </c>
      <c r="N19" s="19" t="s">
        <v>70</v>
      </c>
      <c r="O19" s="19"/>
      <c r="P19" s="19"/>
      <c r="Q19" s="19"/>
      <c r="R19" s="19"/>
      <c r="S19" s="19"/>
      <c r="T19" s="19"/>
    </row>
    <row r="20" spans="1:20" x14ac:dyDescent="0.25">
      <c r="A20">
        <v>137</v>
      </c>
      <c r="B20" s="13">
        <v>-5</v>
      </c>
      <c r="C20" s="4">
        <f t="shared" si="0"/>
        <v>-5.5084312876698638</v>
      </c>
      <c r="D20" s="4">
        <f>ABS(Таблица7[[#This Row],[Предсказанные значения]]-Таблица7[[#This Row],[Z]])</f>
        <v>0.50843128766986379</v>
      </c>
      <c r="E20" s="4">
        <f>ABS(Таблица7[[#This Row],[Остатки]]/Таблица7[[#This Row],[Z]])</f>
        <v>0.10168625753397276</v>
      </c>
      <c r="F20" s="4">
        <f>Таблица7[[#This Row],[Нормированные остатки]]-E21</f>
        <v>-4.4082726756610171</v>
      </c>
      <c r="N20" s="19"/>
      <c r="O20" s="19"/>
      <c r="P20" s="19"/>
      <c r="Q20" s="19"/>
      <c r="R20" s="19"/>
      <c r="S20" s="19"/>
      <c r="T20" s="19"/>
    </row>
    <row r="21" spans="1:20" x14ac:dyDescent="0.25">
      <c r="A21">
        <v>245</v>
      </c>
      <c r="B21">
        <v>-1</v>
      </c>
      <c r="C21" s="4">
        <f t="shared" si="0"/>
        <v>-5.5099589331949899</v>
      </c>
      <c r="D21" s="4">
        <f>ABS(Таблица7[[#This Row],[Предсказанные значения]]-Таблица7[[#This Row],[Z]])</f>
        <v>4.5099589331949899</v>
      </c>
      <c r="E21" s="4">
        <f>ABS(Таблица7[[#This Row],[Остатки]]/Таблица7[[#This Row],[Z]])</f>
        <v>4.5099589331949899</v>
      </c>
      <c r="F21" s="4">
        <f>Таблица7[[#This Row],[Нормированные остатки]]-E22</f>
        <v>-2.0024894964113171</v>
      </c>
      <c r="N21" s="19"/>
      <c r="O21" s="19"/>
      <c r="P21" s="19"/>
      <c r="Q21" s="19"/>
      <c r="R21" s="19"/>
      <c r="S21" s="19"/>
      <c r="T21" s="19"/>
    </row>
    <row r="22" spans="1:20" x14ac:dyDescent="0.25">
      <c r="A22">
        <v>421</v>
      </c>
      <c r="B22" s="13">
        <v>1</v>
      </c>
      <c r="C22" s="4">
        <f t="shared" si="0"/>
        <v>-5.512448429606307</v>
      </c>
      <c r="D22" s="4">
        <f>ABS(Таблица7[[#This Row],[Предсказанные значения]]-Таблица7[[#This Row],[Z]])</f>
        <v>6.512448429606307</v>
      </c>
      <c r="E22" s="4">
        <f>ABS(Таблица7[[#This Row],[Остатки]]/Таблица7[[#This Row],[Z]])</f>
        <v>6.512448429606307</v>
      </c>
      <c r="F22" s="4">
        <f>Таблица7[[#This Row],[Нормированные остатки]]-E23</f>
        <v>6.0635405080144249</v>
      </c>
      <c r="N22" s="19"/>
      <c r="O22" s="19"/>
      <c r="P22" s="19"/>
      <c r="Q22" s="19"/>
      <c r="R22" s="19"/>
      <c r="S22" s="19"/>
      <c r="T22" s="19"/>
    </row>
    <row r="23" spans="1:20" x14ac:dyDescent="0.25">
      <c r="A23">
        <v>313</v>
      </c>
      <c r="B23">
        <v>-10</v>
      </c>
      <c r="C23" s="4">
        <f t="shared" si="0"/>
        <v>-5.51092078408118</v>
      </c>
      <c r="D23" s="4">
        <f>ABS(Таблица7[[#This Row],[Предсказанные значения]]-Таблица7[[#This Row],[Z]])</f>
        <v>4.48907921591882</v>
      </c>
      <c r="E23" s="4">
        <f>ABS(Таблица7[[#This Row],[Остатки]]/Таблица7[[#This Row],[Z]])</f>
        <v>0.44890792159188198</v>
      </c>
      <c r="F23" s="4">
        <f>Таблица7[[#This Row],[Нормированные остатки]]-E24</f>
        <v>-0.38828256104677028</v>
      </c>
    </row>
    <row r="24" spans="1:20" x14ac:dyDescent="0.25">
      <c r="A24">
        <v>359</v>
      </c>
      <c r="B24" s="13">
        <v>-3</v>
      </c>
      <c r="C24" s="4">
        <f t="shared" si="0"/>
        <v>-5.5115714479159568</v>
      </c>
      <c r="D24" s="4">
        <f>ABS(Таблица7[[#This Row],[Предсказанные значения]]-Таблица7[[#This Row],[Z]])</f>
        <v>2.5115714479159568</v>
      </c>
      <c r="E24" s="4">
        <f>ABS(Таблица7[[#This Row],[Остатки]]/Таблица7[[#This Row],[Z]])</f>
        <v>0.83719048263865226</v>
      </c>
      <c r="F24" s="4">
        <f>Таблица7[[#This Row],[Нормированные остатки]]-E25</f>
        <v>0.44971932893395461</v>
      </c>
    </row>
    <row r="25" spans="1:20" x14ac:dyDescent="0.25">
      <c r="A25">
        <v>443</v>
      </c>
      <c r="B25">
        <v>-9</v>
      </c>
      <c r="C25" s="4">
        <f t="shared" si="0"/>
        <v>-5.5127596166577213</v>
      </c>
      <c r="D25" s="4">
        <f>ABS(Таблица7[[#This Row],[Предсказанные значения]]-Таблица7[[#This Row],[Z]])</f>
        <v>3.4872403833422787</v>
      </c>
      <c r="E25" s="4">
        <f>ABS(Таблица7[[#This Row],[Остатки]]/Таблица7[[#This Row],[Z]])</f>
        <v>0.38747115370469765</v>
      </c>
      <c r="F25" s="4">
        <f>Таблица7[[#This Row],[Нормированные остатки]]-E26</f>
        <v>0.30569391355339104</v>
      </c>
    </row>
    <row r="26" spans="1:20" x14ac:dyDescent="0.25">
      <c r="A26">
        <v>201</v>
      </c>
      <c r="B26" s="13">
        <v>-6</v>
      </c>
      <c r="C26" s="4">
        <f t="shared" si="0"/>
        <v>-5.5093365590921604</v>
      </c>
      <c r="D26" s="4">
        <f>ABS(Таблица7[[#This Row],[Предсказанные значения]]-Таблица7[[#This Row],[Z]])</f>
        <v>0.49066344090783964</v>
      </c>
      <c r="E26" s="4">
        <f>ABS(Таблица7[[#This Row],[Остатки]]/Таблица7[[#This Row],[Z]])</f>
        <v>8.1777240151306607E-2</v>
      </c>
      <c r="F26" s="4">
        <f>Таблица7[[#This Row],[Нормированные остатки]]-E27</f>
        <v>-1.6745813508785941</v>
      </c>
      <c r="G26" s="8" t="s">
        <v>36</v>
      </c>
      <c r="H26" s="10">
        <f>SUM(Таблица7[Нормированные остатки])/COUNT(Таблица7[Y])</f>
        <v>0.92657971614673595</v>
      </c>
      <c r="J26" s="17"/>
      <c r="K26" s="17"/>
      <c r="L26" s="17"/>
      <c r="M26" s="17"/>
    </row>
    <row r="27" spans="1:20" x14ac:dyDescent="0.25">
      <c r="A27">
        <v>440</v>
      </c>
      <c r="B27">
        <v>-2</v>
      </c>
      <c r="C27" s="4">
        <f t="shared" si="0"/>
        <v>-5.5127171820598013</v>
      </c>
      <c r="D27" s="4">
        <f>ABS(Таблица7[[#This Row],[Предсказанные значения]]-Таблица7[[#This Row],[Z]])</f>
        <v>3.5127171820598013</v>
      </c>
      <c r="E27" s="4">
        <f>ABS(Таблица7[[#This Row],[Остатки]]/Таблица7[[#This Row],[Z]])</f>
        <v>1.7563585910299007</v>
      </c>
      <c r="F27" s="4">
        <f>Таблица7[[#This Row],[Нормированные остатки]]-E28</f>
        <v>1.1740238757917965E-3</v>
      </c>
      <c r="G27" s="8" t="s">
        <v>38</v>
      </c>
      <c r="H27" s="10">
        <f>H2*AVERAGE(Таблица7[Y])/AVERAGE(Таблица7[Z])</f>
        <v>8.3788368379879958E-4</v>
      </c>
      <c r="J27" s="17"/>
      <c r="K27" s="17"/>
      <c r="L27" s="17"/>
      <c r="M27" s="17"/>
    </row>
    <row r="28" spans="1:20" x14ac:dyDescent="0.25">
      <c r="A28">
        <v>274</v>
      </c>
      <c r="B28" s="13">
        <v>-2</v>
      </c>
      <c r="C28" s="4">
        <f t="shared" si="0"/>
        <v>-5.5103691343082177</v>
      </c>
      <c r="D28" s="4">
        <f>ABS(Таблица7[[#This Row],[Предсказанные значения]]-Таблица7[[#This Row],[Z]])</f>
        <v>3.5103691343082177</v>
      </c>
      <c r="E28" s="4">
        <f>ABS(Таблица7[[#This Row],[Остатки]]/Таблица7[[#This Row],[Z]])</f>
        <v>1.7551845671541089</v>
      </c>
      <c r="F28" s="4">
        <f>Таблица7[[#This Row],[Нормированные остатки]]-E29</f>
        <v>1.4439577235354295</v>
      </c>
      <c r="J28" s="17"/>
      <c r="K28" s="17"/>
      <c r="L28" s="17"/>
      <c r="M28" s="17"/>
    </row>
    <row r="29" spans="1:20" x14ac:dyDescent="0.25">
      <c r="A29">
        <v>261</v>
      </c>
      <c r="B29">
        <v>-8</v>
      </c>
      <c r="C29" s="4">
        <f t="shared" si="0"/>
        <v>-5.5101852510505642</v>
      </c>
      <c r="D29" s="4">
        <f>ABS(Таблица7[[#This Row],[Предсказанные значения]]-Таблица7[[#This Row],[Z]])</f>
        <v>2.4898147489494358</v>
      </c>
      <c r="E29" s="4">
        <f>ABS(Таблица7[[#This Row],[Остатки]]/Таблица7[[#This Row],[Z]])</f>
        <v>0.31122684361867947</v>
      </c>
      <c r="F29" s="4">
        <f>Таблица7[[#This Row],[Нормированные остатки]]-E30</f>
        <v>-7.651620584306229E-2</v>
      </c>
      <c r="G29" s="8" t="s">
        <v>57</v>
      </c>
      <c r="H29" s="8" t="s">
        <v>56</v>
      </c>
    </row>
    <row r="30" spans="1:20" x14ac:dyDescent="0.25">
      <c r="A30">
        <v>270</v>
      </c>
      <c r="B30" s="13">
        <v>-9</v>
      </c>
      <c r="C30" s="4">
        <f t="shared" si="0"/>
        <v>-5.5103125548443241</v>
      </c>
      <c r="D30" s="4">
        <f>ABS(Таблица7[[#This Row],[Предсказанные значения]]-Таблица7[[#This Row],[Z]])</f>
        <v>3.4896874451556759</v>
      </c>
      <c r="E30" s="4">
        <f>ABS(Таблица7[[#This Row],[Остатки]]/Таблица7[[#This Row],[Z]])</f>
        <v>0.38774304946174176</v>
      </c>
      <c r="F30" s="4">
        <f>Таблица7[[#This Row],[Нормированные остатки]]-E31</f>
        <v>-1.3679436604344226</v>
      </c>
      <c r="G30" s="8" t="s">
        <v>41</v>
      </c>
      <c r="H30" s="10">
        <f>AVERAGE(Таблица7[Остатки])/COUNT(Таблица7[Y])</f>
        <v>2.8641543977543781E-2</v>
      </c>
    </row>
    <row r="31" spans="1:20" x14ac:dyDescent="0.25">
      <c r="A31">
        <v>345</v>
      </c>
      <c r="B31">
        <v>-2</v>
      </c>
      <c r="C31" s="4">
        <f t="shared" si="0"/>
        <v>-5.5113734197923288</v>
      </c>
      <c r="D31" s="4">
        <f>ABS(Таблица7[[#This Row],[Предсказанные значения]]-Таблица7[[#This Row],[Z]])</f>
        <v>3.5113734197923288</v>
      </c>
      <c r="E31" s="4">
        <f>ABS(Таблица7[[#This Row],[Остатки]]/Таблица7[[#This Row],[Z]])</f>
        <v>1.7556867098961644</v>
      </c>
      <c r="F31" s="4">
        <f>Таблица7[[#This Row],[Нормированные остатки]]-E32</f>
        <v>1.4445889381794921</v>
      </c>
      <c r="G31" s="8" t="s">
        <v>42</v>
      </c>
      <c r="H31" s="8" t="s">
        <v>71</v>
      </c>
    </row>
    <row r="32" spans="1:20" x14ac:dyDescent="0.25">
      <c r="A32">
        <v>334</v>
      </c>
      <c r="B32" s="13">
        <v>-8</v>
      </c>
      <c r="C32" s="4">
        <f t="shared" si="0"/>
        <v>-5.5112178262666216</v>
      </c>
      <c r="D32" s="4">
        <f>ABS(Таблица7[[#This Row],[Предсказанные значения]]-Таблица7[[#This Row],[Z]])</f>
        <v>2.4887821737333784</v>
      </c>
      <c r="E32" s="4">
        <f>ABS(Таблица7[[#This Row],[Остатки]]/Таблица7[[#This Row],[Z]])</f>
        <v>0.3110977717166723</v>
      </c>
      <c r="F32" s="4">
        <f>Таблица7[[#This Row],[Нормированные остатки]]-E33</f>
        <v>-7.6286941140410125E-2</v>
      </c>
      <c r="G32" s="8" t="s">
        <v>68</v>
      </c>
      <c r="H32" s="10">
        <f>SUMSQ(Таблица7[Шаг остатка])/SUMSQ(Таблица7[Нормированные остатки])</f>
        <v>1.1896646467029095</v>
      </c>
      <c r="I32" t="s">
        <v>72</v>
      </c>
    </row>
    <row r="33" spans="1:8" x14ac:dyDescent="0.25">
      <c r="A33">
        <v>498</v>
      </c>
      <c r="B33">
        <v>-9</v>
      </c>
      <c r="C33" s="4">
        <f t="shared" si="0"/>
        <v>-5.513537584286258</v>
      </c>
      <c r="D33" s="4">
        <f>ABS(Таблица7[[#This Row],[Предсказанные значения]]-Таблица7[[#This Row],[Z]])</f>
        <v>3.486462415713742</v>
      </c>
      <c r="E33" s="4">
        <f>ABS(Таблица7[[#This Row],[Остатки]]/Таблица7[[#This Row],[Z]])</f>
        <v>0.38738471285708242</v>
      </c>
      <c r="F33" s="4">
        <f>Таблица7[[#This Row],[Нормированные остатки]]-E34</f>
        <v>0.17471771074199796</v>
      </c>
      <c r="G33" t="s">
        <v>44</v>
      </c>
    </row>
    <row r="34" spans="1:8" x14ac:dyDescent="0.25">
      <c r="A34">
        <v>342</v>
      </c>
      <c r="B34" s="13">
        <v>-7</v>
      </c>
      <c r="C34" s="4">
        <f t="shared" ref="C34:C65" si="1">$H$3+$H$2*A34</f>
        <v>-5.5113309851944088</v>
      </c>
      <c r="D34" s="4">
        <f>ABS(Таблица7[[#This Row],[Предсказанные значения]]-Таблица7[[#This Row],[Z]])</f>
        <v>1.4886690148055912</v>
      </c>
      <c r="E34" s="4">
        <f>ABS(Таблица7[[#This Row],[Остатки]]/Таблица7[[#This Row],[Z]])</f>
        <v>0.21266700211508446</v>
      </c>
      <c r="F34" s="4">
        <f>Таблица7[[#This Row],[Нормированные остатки]]-E35</f>
        <v>-1.542347826647344</v>
      </c>
      <c r="G34" t="s">
        <v>73</v>
      </c>
    </row>
    <row r="35" spans="1:8" x14ac:dyDescent="0.25">
      <c r="A35">
        <v>250</v>
      </c>
      <c r="B35">
        <v>-2</v>
      </c>
      <c r="C35" s="4">
        <f t="shared" si="1"/>
        <v>-5.5100296575248571</v>
      </c>
      <c r="D35" s="4">
        <f>ABS(Таблица7[[#This Row],[Предсказанные значения]]-Таблица7[[#This Row],[Z]])</f>
        <v>3.5100296575248571</v>
      </c>
      <c r="E35" s="4">
        <f>ABS(Таблица7[[#This Row],[Остатки]]/Таблица7[[#This Row],[Z]])</f>
        <v>1.7550148287624285</v>
      </c>
      <c r="F35" s="4">
        <f>Таблица7[[#This Row],[Нормированные остатки]]-E36</f>
        <v>1.6525760643586715</v>
      </c>
    </row>
    <row r="36" spans="1:8" x14ac:dyDescent="0.25">
      <c r="A36">
        <v>403</v>
      </c>
      <c r="B36" s="13">
        <v>-5</v>
      </c>
      <c r="C36" s="4">
        <f t="shared" si="1"/>
        <v>-5.5121938220187854</v>
      </c>
      <c r="D36" s="4">
        <f>ABS(Таблица7[[#This Row],[Предсказанные значения]]-Таблица7[[#This Row],[Z]])</f>
        <v>0.51219382201878538</v>
      </c>
      <c r="E36" s="4">
        <f>ABS(Таблица7[[#This Row],[Остатки]]/Таблица7[[#This Row],[Z]])</f>
        <v>0.10243876440375707</v>
      </c>
      <c r="F36" s="4">
        <f>Таблица7[[#This Row],[Нормированные остатки]]-E37</f>
        <v>-0.73510533988422977</v>
      </c>
      <c r="G36" s="8" t="s">
        <v>47</v>
      </c>
      <c r="H36" s="11">
        <f>_xlfn.COVARIANCE.S(Yval, Таблица7[Z])/SQRT(_xlfn.VAR.S(Yval)*_xlfn.VAR.S(Таблица7[Z]))</f>
        <v>-3.6620508206179582E-4</v>
      </c>
    </row>
    <row r="37" spans="1:8" x14ac:dyDescent="0.25">
      <c r="A37">
        <v>434</v>
      </c>
      <c r="B37">
        <v>-3</v>
      </c>
      <c r="C37" s="4">
        <f t="shared" si="1"/>
        <v>-5.5126323128639605</v>
      </c>
      <c r="D37" s="4">
        <f>ABS(Таблица7[[#This Row],[Предсказанные значения]]-Таблица7[[#This Row],[Z]])</f>
        <v>2.5126323128639605</v>
      </c>
      <c r="E37" s="4">
        <f>ABS(Таблица7[[#This Row],[Остатки]]/Таблица7[[#This Row],[Z]])</f>
        <v>0.83754410428798687</v>
      </c>
      <c r="F37" s="4">
        <f>Таблица7[[#This Row],[Нормированные остатки]]-E38</f>
        <v>0.75604740397848591</v>
      </c>
      <c r="G37" s="8" t="s">
        <v>48</v>
      </c>
      <c r="H37" s="11">
        <f>1-SUMSQ(Таблица7[Остатки])/DEVSQ(Таблица7[Z])</f>
        <v>1.3410616206410708E-7</v>
      </c>
    </row>
    <row r="38" spans="1:8" x14ac:dyDescent="0.25">
      <c r="A38">
        <v>320</v>
      </c>
      <c r="B38" s="13">
        <v>-6</v>
      </c>
      <c r="C38" s="4">
        <f t="shared" si="1"/>
        <v>-5.5110197981429945</v>
      </c>
      <c r="D38" s="4">
        <f>ABS(Таблица7[[#This Row],[Предсказанные значения]]-Таблица7[[#This Row],[Z]])</f>
        <v>0.48898020185700553</v>
      </c>
      <c r="E38" s="4">
        <f>ABS(Таблица7[[#This Row],[Остатки]]/Таблица7[[#This Row],[Z]])</f>
        <v>8.1496700309500916E-2</v>
      </c>
      <c r="F38" s="4">
        <f>Таблица7[[#This Row],[Нормированные остатки]]-E39</f>
        <v>-0.36740414884939437</v>
      </c>
      <c r="G38" t="s">
        <v>74</v>
      </c>
    </row>
    <row r="39" spans="1:8" x14ac:dyDescent="0.25">
      <c r="A39">
        <v>318</v>
      </c>
      <c r="B39">
        <v>-10</v>
      </c>
      <c r="C39" s="4">
        <f t="shared" si="1"/>
        <v>-5.5109915084110472</v>
      </c>
      <c r="D39" s="4">
        <f>ABS(Таблица7[[#This Row],[Предсказанные значения]]-Таблица7[[#This Row],[Z]])</f>
        <v>4.4890084915889528</v>
      </c>
      <c r="E39" s="4">
        <f>ABS(Таблица7[[#This Row],[Остатки]]/Таблица7[[#This Row],[Z]])</f>
        <v>0.44890084915889528</v>
      </c>
      <c r="F39" s="4">
        <f>Таблица7[[#This Row],[Нормированные остатки]]-E40</f>
        <v>7.1372217478721023E-2</v>
      </c>
    </row>
    <row r="40" spans="1:8" x14ac:dyDescent="0.25">
      <c r="A40">
        <v>256</v>
      </c>
      <c r="B40" s="13">
        <v>-4</v>
      </c>
      <c r="C40" s="4">
        <f t="shared" si="1"/>
        <v>-5.510114526720697</v>
      </c>
      <c r="D40" s="4">
        <f>ABS(Таблица7[[#This Row],[Предсказанные значения]]-Таблица7[[#This Row],[Z]])</f>
        <v>1.510114526720697</v>
      </c>
      <c r="E40" s="4">
        <f>ABS(Таблица7[[#This Row],[Остатки]]/Таблица7[[#This Row],[Z]])</f>
        <v>0.37752863168017425</v>
      </c>
      <c r="F40" s="4">
        <f>Таблица7[[#This Row],[Нормированные остатки]]-E41</f>
        <v>0.16489396068731471</v>
      </c>
      <c r="G40" s="8" t="s">
        <v>50</v>
      </c>
      <c r="H40" s="8" t="s">
        <v>39</v>
      </c>
    </row>
    <row r="41" spans="1:8" x14ac:dyDescent="0.25">
      <c r="A41">
        <v>358</v>
      </c>
      <c r="B41">
        <v>-7</v>
      </c>
      <c r="C41" s="4">
        <f t="shared" si="1"/>
        <v>-5.5115573030499831</v>
      </c>
      <c r="D41" s="4">
        <f>ABS(Таблица7[[#This Row],[Предсказанные значения]]-Таблица7[[#This Row],[Z]])</f>
        <v>1.4884426969500169</v>
      </c>
      <c r="E41" s="4">
        <f>ABS(Таблица7[[#This Row],[Остатки]]/Таблица7[[#This Row],[Z]])</f>
        <v>0.21263467099285954</v>
      </c>
      <c r="F41" s="4">
        <f>Таблица7[[#This Row],[Нормированные остатки]]-E42</f>
        <v>-1.5430661837692785</v>
      </c>
      <c r="G41" s="8" t="s">
        <v>52</v>
      </c>
      <c r="H41" s="11">
        <f>help_linear_yz!E12</f>
        <v>1.18013438358237E-5</v>
      </c>
    </row>
    <row r="42" spans="1:8" x14ac:dyDescent="0.25">
      <c r="A42">
        <v>347</v>
      </c>
      <c r="B42" s="13">
        <v>-2</v>
      </c>
      <c r="C42" s="4">
        <f t="shared" si="1"/>
        <v>-5.511401709524276</v>
      </c>
      <c r="D42" s="4">
        <f>ABS(Таблица7[[#This Row],[Предсказанные значения]]-Таблица7[[#This Row],[Z]])</f>
        <v>3.511401709524276</v>
      </c>
      <c r="E42" s="4">
        <f>ABS(Таблица7[[#This Row],[Остатки]]/Таблица7[[#This Row],[Z]])</f>
        <v>1.755700854762138</v>
      </c>
      <c r="F42" s="4">
        <f>Таблица7[[#This Row],[Нормированные остатки]]-E43</f>
        <v>1.3779529776593762</v>
      </c>
      <c r="G42" s="8" t="s">
        <v>51</v>
      </c>
      <c r="H42" s="10">
        <f>FINV(0.05,help_linear_yz!B12,help_linear_yz!B13)</f>
        <v>3.9493210068606932</v>
      </c>
    </row>
    <row r="43" spans="1:8" x14ac:dyDescent="0.25">
      <c r="A43">
        <v>318</v>
      </c>
      <c r="B43">
        <v>-4</v>
      </c>
      <c r="C43" s="4">
        <f t="shared" si="1"/>
        <v>-5.5109915084110472</v>
      </c>
      <c r="D43" s="4">
        <f>ABS(Таблица7[[#This Row],[Предсказанные значения]]-Таблица7[[#This Row],[Z]])</f>
        <v>1.5109915084110472</v>
      </c>
      <c r="E43" s="4">
        <f>ABS(Таблица7[[#This Row],[Остатки]]/Таблица7[[#This Row],[Z]])</f>
        <v>0.37774787710276181</v>
      </c>
      <c r="F43" s="4">
        <f>Таблица7[[#This Row],[Нормированные остатки]]-E44</f>
        <v>-7.1080833239669183E-2</v>
      </c>
      <c r="G43" t="s">
        <v>75</v>
      </c>
    </row>
    <row r="44" spans="1:8" x14ac:dyDescent="0.25">
      <c r="A44">
        <v>369</v>
      </c>
      <c r="B44" s="13">
        <v>-10</v>
      </c>
      <c r="C44" s="4">
        <f t="shared" si="1"/>
        <v>-5.5117128965756903</v>
      </c>
      <c r="D44" s="4">
        <f>ABS(Таблица7[[#This Row],[Предсказанные значения]]-Таблица7[[#This Row],[Z]])</f>
        <v>4.4882871034243097</v>
      </c>
      <c r="E44" s="4">
        <f>ABS(Таблица7[[#This Row],[Остатки]]/Таблица7[[#This Row],[Z]])</f>
        <v>0.44882871034243099</v>
      </c>
      <c r="F44" s="4">
        <f>Таблица7[[#This Row],[Нормированные остатки]]-E45</f>
        <v>4.3849084517544323E-5</v>
      </c>
    </row>
    <row r="45" spans="1:8" x14ac:dyDescent="0.25">
      <c r="A45">
        <v>400</v>
      </c>
      <c r="B45">
        <v>-10</v>
      </c>
      <c r="C45" s="4">
        <f t="shared" si="1"/>
        <v>-5.5121513874208654</v>
      </c>
      <c r="D45" s="4">
        <f>ABS(Таблица7[[#This Row],[Предсказанные значения]]-Таблица7[[#This Row],[Z]])</f>
        <v>4.4878486125791346</v>
      </c>
      <c r="E45" s="4">
        <f>ABS(Таблица7[[#This Row],[Остатки]]/Таблица7[[#This Row],[Z]])</f>
        <v>0.44878486125791345</v>
      </c>
      <c r="F45" s="4">
        <f>Таблица7[[#This Row],[Нормированные остатки]]-E46</f>
        <v>6.1052813358595526E-2</v>
      </c>
      <c r="G45" s="8" t="s">
        <v>54</v>
      </c>
      <c r="H45" s="8" t="s">
        <v>39</v>
      </c>
    </row>
    <row r="46" spans="1:8" x14ac:dyDescent="0.25">
      <c r="A46">
        <v>277</v>
      </c>
      <c r="B46" s="13">
        <v>-9</v>
      </c>
      <c r="C46" s="4">
        <f t="shared" si="1"/>
        <v>-5.5104115689061386</v>
      </c>
      <c r="D46" s="4">
        <f>ABS(Таблица7[[#This Row],[Предсказанные значения]]-Таблица7[[#This Row],[Z]])</f>
        <v>3.4895884310938614</v>
      </c>
      <c r="E46" s="4">
        <f>ABS(Таблица7[[#This Row],[Остатки]]/Таблица7[[#This Row],[Z]])</f>
        <v>0.38773204789931792</v>
      </c>
      <c r="F46" s="4">
        <f>Таблица7[[#This Row],[Нормированные остатки]]-E47</f>
        <v>-6.105988579158228E-2</v>
      </c>
      <c r="G46" s="8" t="s">
        <v>21</v>
      </c>
      <c r="H46" s="10">
        <f>help_linear_yz!D18</f>
        <v>-3.4353084068085471E-3</v>
      </c>
    </row>
    <row r="47" spans="1:8" x14ac:dyDescent="0.25">
      <c r="A47">
        <v>395</v>
      </c>
      <c r="B47">
        <v>-10</v>
      </c>
      <c r="C47" s="4">
        <f t="shared" si="1"/>
        <v>-5.5120806630909982</v>
      </c>
      <c r="D47" s="4">
        <f>ABS(Таблица7[[#This Row],[Предсказанные значения]]-Таблица7[[#This Row],[Z]])</f>
        <v>4.4879193369090018</v>
      </c>
      <c r="E47" s="4">
        <f>ABS(Таблица7[[#This Row],[Остатки]]/Таблица7[[#This Row],[Z]])</f>
        <v>0.4487919336909002</v>
      </c>
      <c r="F47" s="4">
        <f>Таблица7[[#This Row],[Нормированные остатки]]-E48</f>
        <v>-4.2434597919971395E-6</v>
      </c>
      <c r="G47" s="8" t="s">
        <v>53</v>
      </c>
      <c r="H47" s="10" cm="1">
        <f t="array" ref="H47">_xlfn.T.INV(0.95,COUNT(Таблица7[Y]-2))</f>
        <v>1.661961084030164</v>
      </c>
    </row>
    <row r="48" spans="1:8" x14ac:dyDescent="0.25">
      <c r="A48">
        <v>392</v>
      </c>
      <c r="B48" s="13">
        <v>-10</v>
      </c>
      <c r="C48" s="4">
        <f t="shared" si="1"/>
        <v>-5.5120382284930782</v>
      </c>
      <c r="D48" s="4">
        <f>ABS(Таблица7[[#This Row],[Предсказанные значения]]-Таблица7[[#This Row],[Z]])</f>
        <v>4.4879617715069218</v>
      </c>
      <c r="E48" s="4">
        <f>ABS(Таблица7[[#This Row],[Остатки]]/Таблица7[[#This Row],[Z]])</f>
        <v>0.4487961771506922</v>
      </c>
      <c r="F48" s="4">
        <f>Таблица7[[#This Row],[Нормированные остатки]]-E49</f>
        <v>0.23593316760711933</v>
      </c>
      <c r="G48" t="s">
        <v>76</v>
      </c>
    </row>
    <row r="49" spans="1:6" x14ac:dyDescent="0.25">
      <c r="A49">
        <v>245</v>
      </c>
      <c r="B49">
        <v>-7</v>
      </c>
      <c r="C49" s="4">
        <f t="shared" si="1"/>
        <v>-5.5099589331949899</v>
      </c>
      <c r="D49" s="4">
        <f>ABS(Таблица7[[#This Row],[Предсказанные значения]]-Таблица7[[#This Row],[Z]])</f>
        <v>1.4900410668050101</v>
      </c>
      <c r="E49" s="4">
        <f>ABS(Таблица7[[#This Row],[Остатки]]/Таблица7[[#This Row],[Z]])</f>
        <v>0.21286300954357287</v>
      </c>
      <c r="F49" s="4">
        <f>Таблица7[[#This Row],[Нормированные остатки]]-E50</f>
        <v>-6.299924896846095</v>
      </c>
    </row>
    <row r="50" spans="1:6" x14ac:dyDescent="0.25">
      <c r="A50">
        <v>445</v>
      </c>
      <c r="B50" s="13">
        <v>1</v>
      </c>
      <c r="C50" s="4">
        <f t="shared" si="1"/>
        <v>-5.5127879063896676</v>
      </c>
      <c r="D50" s="4">
        <f>ABS(Таблица7[[#This Row],[Предсказанные значения]]-Таблица7[[#This Row],[Z]])</f>
        <v>6.5127879063896676</v>
      </c>
      <c r="E50" s="4">
        <f>ABS(Таблица7[[#This Row],[Остатки]]/Таблица7[[#This Row],[Z]])</f>
        <v>6.5127879063896676</v>
      </c>
      <c r="F50" s="4">
        <f>Таблица7[[#This Row],[Нормированные остатки]]-E51</f>
        <v>2.7572567900192104</v>
      </c>
    </row>
    <row r="51" spans="1:6" x14ac:dyDescent="0.25">
      <c r="A51">
        <v>323</v>
      </c>
      <c r="B51">
        <v>2</v>
      </c>
      <c r="C51" s="4">
        <f t="shared" si="1"/>
        <v>-5.5110622327409144</v>
      </c>
      <c r="D51" s="4">
        <f>ABS(Таблица7[[#This Row],[Предсказанные значения]]-Таблица7[[#This Row],[Z]])</f>
        <v>7.5110622327409144</v>
      </c>
      <c r="E51" s="4">
        <f>ABS(Таблица7[[#This Row],[Остатки]]/Таблица7[[#This Row],[Z]])</f>
        <v>3.7555311163704572</v>
      </c>
      <c r="F51" s="4">
        <f>Таблица7[[#This Row],[Нормированные остатки]]-E52</f>
        <v>3.3066486555373276</v>
      </c>
    </row>
    <row r="52" spans="1:6" x14ac:dyDescent="0.25">
      <c r="A52">
        <v>331</v>
      </c>
      <c r="B52" s="13">
        <v>-10</v>
      </c>
      <c r="C52" s="4">
        <f t="shared" si="1"/>
        <v>-5.5111753916687016</v>
      </c>
      <c r="D52" s="4">
        <f>ABS(Таблица7[[#This Row],[Предсказанные значения]]-Таблица7[[#This Row],[Z]])</f>
        <v>4.4888246083312984</v>
      </c>
      <c r="E52" s="4">
        <f>ABS(Таблица7[[#This Row],[Остатки]]/Таблица7[[#This Row],[Z]])</f>
        <v>0.44888246083312983</v>
      </c>
      <c r="F52" s="4">
        <f>Таблица7[[#This Row],[Нормированные остатки]]-E53</f>
        <v>-1.305354400300762</v>
      </c>
    </row>
    <row r="53" spans="1:6" x14ac:dyDescent="0.25">
      <c r="A53">
        <v>140</v>
      </c>
      <c r="B53">
        <v>-2</v>
      </c>
      <c r="C53" s="4">
        <f t="shared" si="1"/>
        <v>-5.5084737222677838</v>
      </c>
      <c r="D53" s="4">
        <f>ABS(Таблица7[[#This Row],[Предсказанные значения]]-Таблица7[[#This Row],[Z]])</f>
        <v>3.5084737222677838</v>
      </c>
      <c r="E53" s="4">
        <f>ABS(Таблица7[[#This Row],[Остатки]]/Таблица7[[#This Row],[Z]])</f>
        <v>1.7542368611338919</v>
      </c>
      <c r="F53" s="4">
        <f>Таблица7[[#This Row],[Нормированные остатки]]-E54</f>
        <v>1.672700083704133</v>
      </c>
    </row>
    <row r="54" spans="1:6" x14ac:dyDescent="0.25">
      <c r="A54">
        <v>303</v>
      </c>
      <c r="B54" s="13">
        <v>-6</v>
      </c>
      <c r="C54" s="4">
        <f t="shared" si="1"/>
        <v>-5.5107793354214465</v>
      </c>
      <c r="D54" s="4">
        <f>ABS(Таблица7[[#This Row],[Предсказанные значения]]-Таблица7[[#This Row],[Z]])</f>
        <v>0.48922066457855351</v>
      </c>
      <c r="E54" s="4">
        <f>ABS(Таблица7[[#This Row],[Остатки]]/Таблица7[[#This Row],[Z]])</f>
        <v>8.1536777429758914E-2</v>
      </c>
      <c r="F54" s="4">
        <f>Таблица7[[#This Row],[Нормированные остатки]]-E55</f>
        <v>-0.1313221907235359</v>
      </c>
    </row>
    <row r="55" spans="1:6" x14ac:dyDescent="0.25">
      <c r="A55">
        <v>247</v>
      </c>
      <c r="B55">
        <v>-7</v>
      </c>
      <c r="C55" s="4">
        <f t="shared" si="1"/>
        <v>-5.5099872229269362</v>
      </c>
      <c r="D55" s="4">
        <f>ABS(Таблица7[[#This Row],[Предсказанные значения]]-Таблица7[[#This Row],[Z]])</f>
        <v>1.4900127770730638</v>
      </c>
      <c r="E55" s="4">
        <f>ABS(Таблица7[[#This Row],[Остатки]]/Таблица7[[#This Row],[Z]])</f>
        <v>0.21285896815329483</v>
      </c>
      <c r="F55" s="4">
        <f>Таблица7[[#This Row],[Нормированные остатки]]-E56</f>
        <v>-0.62446353323444215</v>
      </c>
    </row>
    <row r="56" spans="1:6" x14ac:dyDescent="0.25">
      <c r="A56">
        <v>387</v>
      </c>
      <c r="B56" s="13">
        <v>-3</v>
      </c>
      <c r="C56" s="4">
        <f t="shared" si="1"/>
        <v>-5.511967504163211</v>
      </c>
      <c r="D56" s="4">
        <f>ABS(Таблица7[[#This Row],[Предсказанные значения]]-Таблица7[[#This Row],[Z]])</f>
        <v>2.511967504163211</v>
      </c>
      <c r="E56" s="4">
        <f>ABS(Таблица7[[#This Row],[Остатки]]/Таблица7[[#This Row],[Z]])</f>
        <v>0.83732250138773701</v>
      </c>
      <c r="F56" s="4">
        <f>Таблица7[[#This Row],[Нормированные остатки]]-E57</f>
        <v>0.62482523766433318</v>
      </c>
    </row>
    <row r="57" spans="1:6" x14ac:dyDescent="0.25">
      <c r="A57">
        <v>426</v>
      </c>
      <c r="B57">
        <v>-7</v>
      </c>
      <c r="C57" s="4">
        <f t="shared" si="1"/>
        <v>-5.5125191539361733</v>
      </c>
      <c r="D57" s="4">
        <f>ABS(Таблица7[[#This Row],[Предсказанные значения]]-Таблица7[[#This Row],[Z]])</f>
        <v>1.4874808460638267</v>
      </c>
      <c r="E57" s="4">
        <f>ABS(Таблица7[[#This Row],[Остатки]]/Таблица7[[#This Row],[Z]])</f>
        <v>0.2124972637234038</v>
      </c>
      <c r="F57" s="4">
        <f>Таблица7[[#This Row],[Нормированные остатки]]-E58</f>
        <v>0.13096284377130715</v>
      </c>
    </row>
    <row r="58" spans="1:6" x14ac:dyDescent="0.25">
      <c r="A58">
        <v>304</v>
      </c>
      <c r="B58" s="13">
        <v>-6</v>
      </c>
      <c r="C58" s="4">
        <f t="shared" si="1"/>
        <v>-5.5107934802874201</v>
      </c>
      <c r="D58" s="4">
        <f>ABS(Таблица7[[#This Row],[Предсказанные значения]]-Таблица7[[#This Row],[Z]])</f>
        <v>0.48920651971257989</v>
      </c>
      <c r="E58" s="4">
        <f>ABS(Таблица7[[#This Row],[Остатки]]/Таблица7[[#This Row],[Z]])</f>
        <v>8.1534419952096648E-2</v>
      </c>
      <c r="F58" s="4">
        <f>Таблица7[[#This Row],[Нормированные остатки]]-E59</f>
        <v>-0.30622906098271774</v>
      </c>
    </row>
    <row r="59" spans="1:6" x14ac:dyDescent="0.25">
      <c r="A59">
        <v>257</v>
      </c>
      <c r="B59">
        <v>-9</v>
      </c>
      <c r="C59" s="4">
        <f t="shared" si="1"/>
        <v>-5.5101286715866706</v>
      </c>
      <c r="D59" s="4">
        <f>ABS(Таблица7[[#This Row],[Предсказанные значения]]-Таблица7[[#This Row],[Z]])</f>
        <v>3.4898713284133294</v>
      </c>
      <c r="E59" s="4">
        <f>ABS(Таблица7[[#This Row],[Остатки]]/Таблица7[[#This Row],[Z]])</f>
        <v>0.38776348093481439</v>
      </c>
      <c r="F59" s="4">
        <f>Таблица7[[#This Row],[Нормированные остатки]]-E60</f>
        <v>0.28539826983411887</v>
      </c>
    </row>
    <row r="60" spans="1:6" x14ac:dyDescent="0.25">
      <c r="A60">
        <v>377</v>
      </c>
      <c r="B60" s="13">
        <v>-5</v>
      </c>
      <c r="C60" s="4">
        <f t="shared" si="1"/>
        <v>-5.5118260555034775</v>
      </c>
      <c r="D60" s="4">
        <f>ABS(Таблица7[[#This Row],[Предсказанные значения]]-Таблица7[[#This Row],[Z]])</f>
        <v>0.51182605550347748</v>
      </c>
      <c r="E60" s="4">
        <f>ABS(Таблица7[[#This Row],[Остатки]]/Таблица7[[#This Row],[Z]])</f>
        <v>0.10236521110069549</v>
      </c>
      <c r="F60" s="4">
        <f>Таблица7[[#This Row],[Нормированные остатки]]-E61</f>
        <v>-4.4116957332265772</v>
      </c>
    </row>
    <row r="61" spans="1:6" x14ac:dyDescent="0.25">
      <c r="A61">
        <v>535</v>
      </c>
      <c r="B61">
        <v>-1</v>
      </c>
      <c r="C61" s="4">
        <f t="shared" si="1"/>
        <v>-5.514060944327273</v>
      </c>
      <c r="D61" s="4">
        <f>ABS(Таблица7[[#This Row],[Предсказанные значения]]-Таблица7[[#This Row],[Z]])</f>
        <v>4.514060944327273</v>
      </c>
      <c r="E61" s="4">
        <f>ABS(Таблица7[[#This Row],[Остатки]]/Таблица7[[#This Row],[Z]])</f>
        <v>4.514060944327273</v>
      </c>
      <c r="F61" s="4">
        <f>Таблица7[[#This Row],[Нормированные остатки]]-E62</f>
        <v>4.4121738296964779</v>
      </c>
    </row>
    <row r="62" spans="1:6" x14ac:dyDescent="0.25">
      <c r="A62">
        <v>208</v>
      </c>
      <c r="B62" s="13">
        <v>-5</v>
      </c>
      <c r="C62" s="4">
        <f t="shared" si="1"/>
        <v>-5.5094355731539739</v>
      </c>
      <c r="D62" s="4">
        <f>ABS(Таблица7[[#This Row],[Предсказанные значения]]-Таблица7[[#This Row],[Z]])</f>
        <v>0.50943557315397392</v>
      </c>
      <c r="E62" s="4">
        <f>ABS(Таблица7[[#This Row],[Остатки]]/Таблица7[[#This Row],[Z]])</f>
        <v>0.10188711463079478</v>
      </c>
      <c r="F62" s="4">
        <f>Таблица7[[#This Row],[Нормированные остатки]]-E63</f>
        <v>-0.27599867491520758</v>
      </c>
    </row>
    <row r="63" spans="1:6" x14ac:dyDescent="0.25">
      <c r="A63">
        <v>357</v>
      </c>
      <c r="B63">
        <v>-4</v>
      </c>
      <c r="C63" s="4">
        <f t="shared" si="1"/>
        <v>-5.5115431581840095</v>
      </c>
      <c r="D63" s="4">
        <f>ABS(Таблица7[[#This Row],[Предсказанные значения]]-Таблица7[[#This Row],[Z]])</f>
        <v>1.5115431581840095</v>
      </c>
      <c r="E63" s="4">
        <f>ABS(Таблица7[[#This Row],[Остатки]]/Таблица7[[#This Row],[Z]])</f>
        <v>0.37788578954600238</v>
      </c>
      <c r="F63" s="4">
        <f>Таблица7[[#This Row],[Нормированные остатки]]-E64</f>
        <v>-0.45920096407551148</v>
      </c>
    </row>
    <row r="64" spans="1:6" x14ac:dyDescent="0.25">
      <c r="A64">
        <v>337</v>
      </c>
      <c r="B64" s="13">
        <v>-3</v>
      </c>
      <c r="C64" s="4">
        <f t="shared" si="1"/>
        <v>-5.5112602608645416</v>
      </c>
      <c r="D64" s="4">
        <f>ABS(Таблица7[[#This Row],[Предсказанные значения]]-Таблица7[[#This Row],[Z]])</f>
        <v>2.5112602608645416</v>
      </c>
      <c r="E64" s="4">
        <f>ABS(Таблица7[[#This Row],[Остатки]]/Таблица7[[#This Row],[Z]])</f>
        <v>0.83708675362151386</v>
      </c>
      <c r="F64" s="4">
        <f>Таблица7[[#This Row],[Нормированные остатки]]-E65</f>
        <v>-0.91932134443929359</v>
      </c>
    </row>
    <row r="65" spans="1:6" x14ac:dyDescent="0.25">
      <c r="A65">
        <v>447</v>
      </c>
      <c r="B65">
        <v>-2</v>
      </c>
      <c r="C65" s="4">
        <f t="shared" si="1"/>
        <v>-5.5128161961216149</v>
      </c>
      <c r="D65" s="4">
        <f>ABS(Таблица7[[#This Row],[Предсказанные значения]]-Таблица7[[#This Row],[Z]])</f>
        <v>3.5128161961216149</v>
      </c>
      <c r="E65" s="4">
        <f>ABS(Таблица7[[#This Row],[Остатки]]/Таблица7[[#This Row],[Z]])</f>
        <v>1.7564080980608074</v>
      </c>
      <c r="F65" s="4">
        <f>Таблица7[[#This Row],[Нормированные остатки]]-E66</f>
        <v>1.5435309436512612</v>
      </c>
    </row>
    <row r="66" spans="1:6" x14ac:dyDescent="0.25">
      <c r="A66">
        <v>238</v>
      </c>
      <c r="B66" s="13">
        <v>-7</v>
      </c>
      <c r="C66" s="4">
        <f t="shared" ref="C66:C91" si="2">$H$3+$H$2*A66</f>
        <v>-5.5098599191331763</v>
      </c>
      <c r="D66" s="4">
        <f>ABS(Таблица7[[#This Row],[Предсказанные значения]]-Таблица7[[#This Row],[Z]])</f>
        <v>1.4901400808668237</v>
      </c>
      <c r="E66" s="4">
        <f>ABS(Таблица7[[#This Row],[Остатки]]/Таблица7[[#This Row],[Z]])</f>
        <v>0.21287715440954624</v>
      </c>
      <c r="F66" s="4">
        <f>Таблица7[[#This Row],[Нормированные остатки]]-E67</f>
        <v>-0.62347878113667576</v>
      </c>
    </row>
    <row r="67" spans="1:6" x14ac:dyDescent="0.25">
      <c r="A67">
        <v>182</v>
      </c>
      <c r="B67">
        <v>-3</v>
      </c>
      <c r="C67" s="4">
        <f t="shared" si="2"/>
        <v>-5.509067806638666</v>
      </c>
      <c r="D67" s="4">
        <f>ABS(Таблица7[[#This Row],[Предсказанные значения]]-Таблица7[[#This Row],[Z]])</f>
        <v>2.509067806638666</v>
      </c>
      <c r="E67" s="4">
        <f>ABS(Таблица7[[#This Row],[Остатки]]/Таблица7[[#This Row],[Z]])</f>
        <v>0.83635593554622201</v>
      </c>
      <c r="F67" s="4">
        <f>Таблица7[[#This Row],[Нормированные остатки]]-E68</f>
        <v>0.44887535193087541</v>
      </c>
    </row>
    <row r="68" spans="1:6" x14ac:dyDescent="0.25">
      <c r="A68">
        <v>437</v>
      </c>
      <c r="B68" s="13">
        <v>-9</v>
      </c>
      <c r="C68" s="4">
        <f t="shared" si="2"/>
        <v>-5.5126747474618805</v>
      </c>
      <c r="D68" s="4">
        <f>ABS(Таблица7[[#This Row],[Предсказанные значения]]-Таблица7[[#This Row],[Z]])</f>
        <v>3.4873252525381195</v>
      </c>
      <c r="E68" s="4">
        <f>ABS(Таблица7[[#This Row],[Остатки]]/Таблица7[[#This Row],[Z]])</f>
        <v>0.3874805836153466</v>
      </c>
      <c r="F68" s="4">
        <f>Таблица7[[#This Row],[Нормированные остатки]]-E69</f>
        <v>-6.145704219507947E-2</v>
      </c>
    </row>
    <row r="69" spans="1:6" x14ac:dyDescent="0.25">
      <c r="A69">
        <v>292</v>
      </c>
      <c r="B69">
        <v>-10</v>
      </c>
      <c r="C69" s="4">
        <f t="shared" si="2"/>
        <v>-5.5106237418957393</v>
      </c>
      <c r="D69" s="4">
        <f>ABS(Таблица7[[#This Row],[Предсказанные значения]]-Таблица7[[#This Row],[Z]])</f>
        <v>4.4893762581042607</v>
      </c>
      <c r="E69" s="4">
        <f>ABS(Таблица7[[#This Row],[Остатки]]/Таблица7[[#This Row],[Z]])</f>
        <v>0.44893762581042607</v>
      </c>
      <c r="F69" s="4">
        <f>Таблица7[[#This Row],[Нормированные остатки]]-E70</f>
        <v>0.13808562114004141</v>
      </c>
    </row>
    <row r="70" spans="1:6" x14ac:dyDescent="0.25">
      <c r="A70">
        <v>473</v>
      </c>
      <c r="B70" s="13">
        <v>-8</v>
      </c>
      <c r="C70" s="4">
        <f t="shared" si="2"/>
        <v>-5.5131839626369228</v>
      </c>
      <c r="D70" s="4">
        <f>ABS(Таблица7[[#This Row],[Предсказанные значения]]-Таблица7[[#This Row],[Z]])</f>
        <v>2.4868160373630772</v>
      </c>
      <c r="E70" s="4">
        <f>ABS(Таблица7[[#This Row],[Остатки]]/Таблица7[[#This Row],[Z]])</f>
        <v>0.31085200467038465</v>
      </c>
      <c r="F70" s="4">
        <f>Таблица7[[#This Row],[Нормированные остатки]]-E71</f>
        <v>-4.2011862238226936</v>
      </c>
    </row>
    <row r="71" spans="1:6" x14ac:dyDescent="0.25">
      <c r="A71">
        <v>392</v>
      </c>
      <c r="B71">
        <v>-1</v>
      </c>
      <c r="C71" s="4">
        <f t="shared" si="2"/>
        <v>-5.5120382284930782</v>
      </c>
      <c r="D71" s="4">
        <f>ABS(Таблица7[[#This Row],[Предсказанные значения]]-Таблица7[[#This Row],[Z]])</f>
        <v>4.5120382284930782</v>
      </c>
      <c r="E71" s="4">
        <f>ABS(Таблица7[[#This Row],[Остатки]]/Таблица7[[#This Row],[Z]])</f>
        <v>4.5120382284930782</v>
      </c>
      <c r="F71" s="4">
        <f>Таблица7[[#This Row],[Нормированные остатки]]-E72</f>
        <v>2.7556654925972044</v>
      </c>
    </row>
    <row r="72" spans="1:6" x14ac:dyDescent="0.25">
      <c r="A72">
        <v>442</v>
      </c>
      <c r="B72" s="13">
        <v>-2</v>
      </c>
      <c r="C72" s="4">
        <f t="shared" si="2"/>
        <v>-5.5127454717917477</v>
      </c>
      <c r="D72" s="4">
        <f>ABS(Таблица7[[#This Row],[Предсказанные значения]]-Таблица7[[#This Row],[Z]])</f>
        <v>3.5127454717917477</v>
      </c>
      <c r="E72" s="4">
        <f>ABS(Таблица7[[#This Row],[Остатки]]/Таблица7[[#This Row],[Z]])</f>
        <v>1.7563727358958738</v>
      </c>
      <c r="F72" s="4">
        <f>Таблица7[[#This Row],[Нормированные остатки]]-E73</f>
        <v>1.5437340235127361</v>
      </c>
    </row>
    <row r="73" spans="1:6" x14ac:dyDescent="0.25">
      <c r="A73">
        <v>356</v>
      </c>
      <c r="B73">
        <v>-7</v>
      </c>
      <c r="C73" s="4">
        <f t="shared" si="2"/>
        <v>-5.5115290133180359</v>
      </c>
      <c r="D73" s="4">
        <f>ABS(Таблица7[[#This Row],[Предсказанные значения]]-Таблица7[[#This Row],[Z]])</f>
        <v>1.4884709866819641</v>
      </c>
      <c r="E73" s="4">
        <f>ABS(Таблица7[[#This Row],[Остатки]]/Таблица7[[#This Row],[Z]])</f>
        <v>0.21263871238313772</v>
      </c>
      <c r="F73" s="4">
        <f>Таблица7[[#This Row],[Нормированные остатки]]-E74</f>
        <v>-0.62467907404927503</v>
      </c>
    </row>
    <row r="74" spans="1:6" x14ac:dyDescent="0.25">
      <c r="A74">
        <v>386</v>
      </c>
      <c r="B74" s="13">
        <v>-3</v>
      </c>
      <c r="C74" s="4">
        <f t="shared" si="2"/>
        <v>-5.5119533592972383</v>
      </c>
      <c r="D74" s="4">
        <f>ABS(Таблица7[[#This Row],[Предсказанные значения]]-Таблица7[[#This Row],[Z]])</f>
        <v>2.5119533592972383</v>
      </c>
      <c r="E74" s="4">
        <f>ABS(Таблица7[[#This Row],[Остатки]]/Таблица7[[#This Row],[Z]])</f>
        <v>0.83731778643241273</v>
      </c>
      <c r="F74" s="4">
        <f>Таблица7[[#This Row],[Нормированные остатки]]-E75</f>
        <v>0.73506290528630969</v>
      </c>
    </row>
    <row r="75" spans="1:6" x14ac:dyDescent="0.25">
      <c r="A75">
        <v>338</v>
      </c>
      <c r="B75">
        <v>-5</v>
      </c>
      <c r="C75" s="4">
        <f t="shared" si="2"/>
        <v>-5.5112744057305152</v>
      </c>
      <c r="D75" s="4">
        <f>ABS(Таблица7[[#This Row],[Предсказанные значения]]-Таблица7[[#This Row],[Z]])</f>
        <v>0.51127440573051519</v>
      </c>
      <c r="E75" s="4">
        <f>ABS(Таблица7[[#This Row],[Остатки]]/Таблица7[[#This Row],[Z]])</f>
        <v>0.10225488114610304</v>
      </c>
      <c r="F75" s="4">
        <f>Таблица7[[#This Row],[Нормированные остатки]]-E76</f>
        <v>-0.27534801108043161</v>
      </c>
    </row>
    <row r="76" spans="1:6" x14ac:dyDescent="0.25">
      <c r="A76">
        <v>277</v>
      </c>
      <c r="B76" s="13">
        <v>-4</v>
      </c>
      <c r="C76" s="4">
        <f t="shared" si="2"/>
        <v>-5.5104115689061386</v>
      </c>
      <c r="D76" s="4">
        <f>ABS(Таблица7[[#This Row],[Предсказанные значения]]-Таблица7[[#This Row],[Z]])</f>
        <v>1.5104115689061386</v>
      </c>
      <c r="E76" s="4">
        <f>ABS(Таблица7[[#This Row],[Остатки]]/Таблица7[[#This Row],[Z]])</f>
        <v>0.37760289222653465</v>
      </c>
      <c r="F76" s="4">
        <f>Таблица7[[#This Row],[Нормированные остатки]]-E77</f>
        <v>1.0608649480059462E-4</v>
      </c>
    </row>
    <row r="77" spans="1:6" x14ac:dyDescent="0.25">
      <c r="A77">
        <v>247</v>
      </c>
      <c r="B77">
        <v>-4</v>
      </c>
      <c r="C77" s="4">
        <f t="shared" si="2"/>
        <v>-5.5099872229269362</v>
      </c>
      <c r="D77" s="4">
        <f>ABS(Таблица7[[#This Row],[Предсказанные значения]]-Таблица7[[#This Row],[Z]])</f>
        <v>1.5099872229269362</v>
      </c>
      <c r="E77" s="4">
        <f>ABS(Таблица7[[#This Row],[Остатки]]/Таблица7[[#This Row],[Z]])</f>
        <v>0.37749680573173405</v>
      </c>
      <c r="F77" s="4">
        <f>Таблица7[[#This Row],[Нормированные остатки]]-E78</f>
        <v>0.27571719208233703</v>
      </c>
    </row>
    <row r="78" spans="1:6" x14ac:dyDescent="0.25">
      <c r="A78">
        <v>170</v>
      </c>
      <c r="B78" s="13">
        <v>-5</v>
      </c>
      <c r="C78" s="4">
        <f t="shared" si="2"/>
        <v>-5.5088980682469852</v>
      </c>
      <c r="D78" s="4">
        <f>ABS(Таблица7[[#This Row],[Предсказанные значения]]-Таблица7[[#This Row],[Z]])</f>
        <v>0.50889806824698525</v>
      </c>
      <c r="E78" s="4">
        <f>ABS(Таблица7[[#This Row],[Остатки]]/Таблица7[[#This Row],[Z]])</f>
        <v>0.10177961364939705</v>
      </c>
      <c r="F78" s="4">
        <f>Таблица7[[#This Row],[Нормированные остатки]]-E79</f>
        <v>-0.1108106020504033</v>
      </c>
    </row>
    <row r="79" spans="1:6" x14ac:dyDescent="0.25">
      <c r="A79">
        <v>380</v>
      </c>
      <c r="B79">
        <v>-7</v>
      </c>
      <c r="C79" s="4">
        <f t="shared" si="2"/>
        <v>-5.5118684901013975</v>
      </c>
      <c r="D79" s="4">
        <f>ABS(Таблица7[[#This Row],[Предсказанные значения]]-Таблица7[[#This Row],[Z]])</f>
        <v>1.4881315098986025</v>
      </c>
      <c r="E79" s="4">
        <f>ABS(Таблица7[[#This Row],[Остатки]]/Таблица7[[#This Row],[Z]])</f>
        <v>0.21259021569980036</v>
      </c>
      <c r="F79" s="4">
        <f>Таблица7[[#This Row],[Нормированные остатки]]-E80</f>
        <v>-9.8707352248746105E-2</v>
      </c>
    </row>
    <row r="80" spans="1:6" x14ac:dyDescent="0.25">
      <c r="A80">
        <v>221</v>
      </c>
      <c r="B80" s="13">
        <v>-8</v>
      </c>
      <c r="C80" s="4">
        <f t="shared" si="2"/>
        <v>-5.5096194564116283</v>
      </c>
      <c r="D80" s="4">
        <f>ABS(Таблица7[[#This Row],[Предсказанные значения]]-Таблица7[[#This Row],[Z]])</f>
        <v>2.4903805435883717</v>
      </c>
      <c r="E80" s="4">
        <f>ABS(Таблица7[[#This Row],[Остатки]]/Таблица7[[#This Row],[Z]])</f>
        <v>0.31129756794854646</v>
      </c>
      <c r="F80" s="4">
        <f>Таблица7[[#This Row],[Нормированные остатки]]-E81</f>
        <v>-0.1376471302948663</v>
      </c>
    </row>
    <row r="81" spans="1:6" x14ac:dyDescent="0.25">
      <c r="A81">
        <v>287</v>
      </c>
      <c r="B81">
        <v>-10</v>
      </c>
      <c r="C81" s="4">
        <f t="shared" si="2"/>
        <v>-5.5105530175658721</v>
      </c>
      <c r="D81" s="4">
        <f>ABS(Таблица7[[#This Row],[Предсказанные значения]]-Таблица7[[#This Row],[Z]])</f>
        <v>4.4894469824341279</v>
      </c>
      <c r="E81" s="4">
        <f>ABS(Таблица7[[#This Row],[Остатки]]/Таблица7[[#This Row],[Z]])</f>
        <v>0.44894469824341277</v>
      </c>
      <c r="F81" s="4">
        <f>Таблица7[[#This Row],[Нормированные остатки]]-E82</f>
        <v>0.34695574057760953</v>
      </c>
    </row>
    <row r="82" spans="1:6" x14ac:dyDescent="0.25">
      <c r="A82">
        <v>244</v>
      </c>
      <c r="B82" s="13">
        <v>-5</v>
      </c>
      <c r="C82" s="4">
        <f t="shared" si="2"/>
        <v>-5.5099447883290162</v>
      </c>
      <c r="D82" s="4">
        <f>ABS(Таблица7[[#This Row],[Предсказанные значения]]-Таблица7[[#This Row],[Z]])</f>
        <v>0.50994478832901624</v>
      </c>
      <c r="E82" s="4">
        <f>ABS(Таблица7[[#This Row],[Остатки]]/Таблица7[[#This Row],[Z]])</f>
        <v>0.10198895766580325</v>
      </c>
      <c r="F82" s="4">
        <f>Таблица7[[#This Row],[Нормированные остатки]]-E83</f>
        <v>2.0475755012666588E-2</v>
      </c>
    </row>
    <row r="83" spans="1:6" x14ac:dyDescent="0.25">
      <c r="A83">
        <v>313</v>
      </c>
      <c r="B83">
        <v>-6</v>
      </c>
      <c r="C83" s="4">
        <f t="shared" si="2"/>
        <v>-5.51092078408118</v>
      </c>
      <c r="D83" s="4">
        <f>ABS(Таблица7[[#This Row],[Предсказанные значения]]-Таблица7[[#This Row],[Z]])</f>
        <v>0.48907921591881998</v>
      </c>
      <c r="E83" s="4">
        <f>ABS(Таблица7[[#This Row],[Остатки]]/Таблица7[[#This Row],[Z]])</f>
        <v>8.1513202653136663E-2</v>
      </c>
      <c r="F83" s="4">
        <f>Таблица7[[#This Row],[Нормированные остатки]]-E84</f>
        <v>-2.0405030682799724E-2</v>
      </c>
    </row>
    <row r="84" spans="1:6" x14ac:dyDescent="0.25">
      <c r="A84">
        <v>219</v>
      </c>
      <c r="B84" s="13">
        <v>-5</v>
      </c>
      <c r="C84" s="4">
        <f t="shared" si="2"/>
        <v>-5.509591166679682</v>
      </c>
      <c r="D84" s="4">
        <f>ABS(Таблица7[[#This Row],[Предсказанные значения]]-Таблица7[[#This Row],[Z]])</f>
        <v>0.50959116667968196</v>
      </c>
      <c r="E84" s="4">
        <f>ABS(Таблица7[[#This Row],[Остатки]]/Таблица7[[#This Row],[Z]])</f>
        <v>0.10191823333593639</v>
      </c>
      <c r="F84" s="4">
        <f>Таблица7[[#This Row],[Нормированные остатки]]-E85</f>
        <v>-4.8941236267925625E-4</v>
      </c>
    </row>
    <row r="85" spans="1:6" x14ac:dyDescent="0.25">
      <c r="A85">
        <v>392</v>
      </c>
      <c r="B85">
        <v>-5</v>
      </c>
      <c r="C85" s="4">
        <f t="shared" si="2"/>
        <v>-5.5120382284930782</v>
      </c>
      <c r="D85" s="4">
        <f>ABS(Таблица7[[#This Row],[Предсказанные значения]]-Таблица7[[#This Row],[Z]])</f>
        <v>0.51203822849307823</v>
      </c>
      <c r="E85" s="4">
        <f>ABS(Таблица7[[#This Row],[Остатки]]/Таблица7[[#This Row],[Z]])</f>
        <v>0.10240764569861564</v>
      </c>
      <c r="F85" s="4">
        <f>Таблица7[[#This Row],[Нормированные остатки]]-E86</f>
        <v>-0.27568324440400088</v>
      </c>
    </row>
    <row r="86" spans="1:6" x14ac:dyDescent="0.25">
      <c r="A86">
        <v>415</v>
      </c>
      <c r="B86" s="13">
        <v>-4</v>
      </c>
      <c r="C86" s="4">
        <f t="shared" si="2"/>
        <v>-5.5123635604104662</v>
      </c>
      <c r="D86" s="4">
        <f>ABS(Таблица7[[#This Row],[Предсказанные значения]]-Таблица7[[#This Row],[Z]])</f>
        <v>1.5123635604104662</v>
      </c>
      <c r="E86" s="4">
        <f>ABS(Таблица7[[#This Row],[Остатки]]/Таблица7[[#This Row],[Z]])</f>
        <v>0.37809089010261654</v>
      </c>
      <c r="F86" s="4">
        <f>Таблица7[[#This Row],[Нормированные остатки]]-E87</f>
        <v>6.7005495143670935E-2</v>
      </c>
    </row>
    <row r="87" spans="1:6" x14ac:dyDescent="0.25">
      <c r="A87">
        <v>341</v>
      </c>
      <c r="B87">
        <v>-8</v>
      </c>
      <c r="C87" s="4">
        <f t="shared" si="2"/>
        <v>-5.5113168403284352</v>
      </c>
      <c r="D87" s="4">
        <f>ABS(Таблица7[[#This Row],[Предсказанные значения]]-Таблица7[[#This Row],[Z]])</f>
        <v>2.4886831596715648</v>
      </c>
      <c r="E87" s="4">
        <f>ABS(Таблица7[[#This Row],[Остатки]]/Таблица7[[#This Row],[Z]])</f>
        <v>0.3110853949589456</v>
      </c>
      <c r="F87" s="4">
        <f>Таблица7[[#This Row],[Нормированные остатки]]-E88</f>
        <v>0.22959105212710679</v>
      </c>
    </row>
    <row r="88" spans="1:6" x14ac:dyDescent="0.25">
      <c r="A88">
        <v>321</v>
      </c>
      <c r="B88" s="13">
        <v>-6</v>
      </c>
      <c r="C88" s="4">
        <f t="shared" si="2"/>
        <v>-5.5110339430089672</v>
      </c>
      <c r="D88" s="4">
        <f>ABS(Таблица7[[#This Row],[Предсказанные значения]]-Таблица7[[#This Row],[Z]])</f>
        <v>0.48896605699103279</v>
      </c>
      <c r="E88" s="4">
        <f>ABS(Таблица7[[#This Row],[Остатки]]/Таблица7[[#This Row],[Z]])</f>
        <v>8.1494342831838804E-2</v>
      </c>
      <c r="F88" s="4">
        <f>Таблица7[[#This Row],[Нормированные остатки]]-E89</f>
        <v>-0.13134845976034359</v>
      </c>
    </row>
    <row r="89" spans="1:6" x14ac:dyDescent="0.25">
      <c r="A89">
        <v>255</v>
      </c>
      <c r="B89">
        <v>-7</v>
      </c>
      <c r="C89" s="4">
        <f t="shared" si="2"/>
        <v>-5.5101003818547234</v>
      </c>
      <c r="D89" s="4">
        <f>ABS(Таблица7[[#This Row],[Предсказанные значения]]-Таблица7[[#This Row],[Z]])</f>
        <v>1.4898996181452766</v>
      </c>
      <c r="E89" s="4">
        <f>ABS(Таблица7[[#This Row],[Остатки]]/Таблица7[[#This Row],[Z]])</f>
        <v>0.21284280259218238</v>
      </c>
      <c r="F89" s="4">
        <f>Таблица7[[#This Row],[Нормированные остатки]]-E90</f>
        <v>-4.2965644808298453</v>
      </c>
    </row>
    <row r="90" spans="1:6" x14ac:dyDescent="0.25">
      <c r="A90">
        <v>206</v>
      </c>
      <c r="B90" s="13">
        <v>-1</v>
      </c>
      <c r="C90" s="4">
        <f t="shared" si="2"/>
        <v>-5.5094072834220276</v>
      </c>
      <c r="D90" s="4">
        <f>ABS(Таблица7[[#This Row],[Предсказанные значения]]-Таблица7[[#This Row],[Z]])</f>
        <v>4.5094072834220276</v>
      </c>
      <c r="E90" s="4">
        <f>ABS(Таблица7[[#This Row],[Остатки]]/Таблица7[[#This Row],[Z]])</f>
        <v>4.5094072834220276</v>
      </c>
      <c r="F90" s="4">
        <f>Таблица7[[#This Row],[Нормированные остатки]]-E91</f>
        <v>4.0605149211827163</v>
      </c>
    </row>
    <row r="91" spans="1:6" x14ac:dyDescent="0.25">
      <c r="A91">
        <v>324</v>
      </c>
      <c r="B91" s="14">
        <v>-10</v>
      </c>
      <c r="C91" s="4">
        <f t="shared" si="2"/>
        <v>-5.5110763776068881</v>
      </c>
      <c r="D91" s="4">
        <f>ABS(Таблица7[[#This Row],[Предсказанные значения]]-Таблица7[[#This Row],[Z]])</f>
        <v>4.4889236223931119</v>
      </c>
      <c r="E91" s="4">
        <f>ABS(Таблица7[[#This Row],[Остатки]]/Таблица7[[#This Row],[Z]])</f>
        <v>0.44889236223931117</v>
      </c>
      <c r="F91" s="4">
        <f>Таблица7[[#This Row],[Нормированные остатки]]-E92</f>
        <v>0.44889236223931117</v>
      </c>
    </row>
  </sheetData>
  <mergeCells count="1">
    <mergeCell ref="N19:T22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7887-746D-471D-8A37-94FEF2700073}">
  <dimension ref="A1:I114"/>
  <sheetViews>
    <sheetView topLeftCell="A7" workbookViewId="0">
      <selection activeCell="B25" sqref="B25:D114"/>
    </sheetView>
  </sheetViews>
  <sheetFormatPr defaultRowHeight="15" x14ac:dyDescent="0.25"/>
  <cols>
    <col min="1" max="1" width="26.28515625" bestFit="1" customWidth="1"/>
    <col min="2" max="2" width="17.140625" bestFit="1" customWidth="1"/>
    <col min="3" max="3" width="23.28515625" bestFit="1" customWidth="1"/>
    <col min="4" max="4" width="25" bestFit="1" customWidth="1"/>
    <col min="5" max="5" width="12" bestFit="1" customWidth="1"/>
    <col min="6" max="6" width="14.7109375" bestFit="1" customWidth="1"/>
    <col min="7" max="7" width="13.140625" bestFit="1" customWidth="1"/>
    <col min="8" max="8" width="14.7109375" bestFit="1" customWidth="1"/>
    <col min="9" max="9" width="14.8554687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 s="4">
        <v>3.6620508184359888E-4</v>
      </c>
    </row>
    <row r="5" spans="1:9" x14ac:dyDescent="0.25">
      <c r="A5" t="s">
        <v>10</v>
      </c>
      <c r="B5" s="4">
        <v>1.3410616196807697E-7</v>
      </c>
    </row>
    <row r="6" spans="1:9" x14ac:dyDescent="0.25">
      <c r="A6" t="s">
        <v>11</v>
      </c>
      <c r="B6" s="4">
        <v>-1.1363500733540737E-2</v>
      </c>
    </row>
    <row r="7" spans="1:9" x14ac:dyDescent="0.25">
      <c r="A7" t="s">
        <v>12</v>
      </c>
      <c r="B7" s="4">
        <v>3.1051437807094238</v>
      </c>
    </row>
    <row r="8" spans="1:9" ht="15.75" thickBot="1" x14ac:dyDescent="0.3">
      <c r="A8" s="1" t="s">
        <v>13</v>
      </c>
      <c r="B8" s="1">
        <v>90</v>
      </c>
    </row>
    <row r="10" spans="1:9" ht="15.75" thickBot="1" x14ac:dyDescent="0.3">
      <c r="A10" t="s">
        <v>14</v>
      </c>
    </row>
    <row r="11" spans="1:9" x14ac:dyDescent="0.25">
      <c r="A11" s="2"/>
      <c r="B11" s="2" t="s">
        <v>3</v>
      </c>
      <c r="C11" s="2" t="s">
        <v>4</v>
      </c>
      <c r="D11" s="2" t="s">
        <v>5</v>
      </c>
      <c r="E11" s="2" t="s">
        <v>6</v>
      </c>
      <c r="F11" s="2" t="s">
        <v>19</v>
      </c>
    </row>
    <row r="12" spans="1:9" x14ac:dyDescent="0.25">
      <c r="A12" t="s">
        <v>15</v>
      </c>
      <c r="B12">
        <v>1</v>
      </c>
      <c r="C12" s="4">
        <v>1.1378758836144698E-4</v>
      </c>
      <c r="D12" s="4">
        <v>1.1378758836144698E-4</v>
      </c>
      <c r="E12" s="4">
        <v>1.18013438358237E-5</v>
      </c>
      <c r="F12" s="4">
        <v>0.99726680155540315</v>
      </c>
    </row>
    <row r="13" spans="1:9" x14ac:dyDescent="0.25">
      <c r="A13" t="s">
        <v>16</v>
      </c>
      <c r="B13">
        <v>88</v>
      </c>
      <c r="C13" s="4">
        <v>848.48877510130046</v>
      </c>
      <c r="D13" s="4">
        <v>9.6419178988784147</v>
      </c>
      <c r="E13" s="4"/>
      <c r="F13" s="4"/>
    </row>
    <row r="14" spans="1:9" ht="15.75" thickBot="1" x14ac:dyDescent="0.3">
      <c r="A14" s="1" t="s">
        <v>17</v>
      </c>
      <c r="B14" s="1">
        <v>89</v>
      </c>
      <c r="C14" s="5">
        <v>848.48888888888882</v>
      </c>
      <c r="D14" s="5"/>
      <c r="E14" s="5"/>
      <c r="F14" s="5"/>
    </row>
    <row r="15" spans="1:9" ht="15.75" thickBot="1" x14ac:dyDescent="0.3"/>
    <row r="16" spans="1:9" x14ac:dyDescent="0.25">
      <c r="A16" s="2"/>
      <c r="B16" s="2" t="s">
        <v>20</v>
      </c>
      <c r="C16" s="2" t="s">
        <v>12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18</v>
      </c>
      <c r="B17" s="4">
        <v>-5.506493441031509</v>
      </c>
      <c r="C17" s="4">
        <v>1.3834558620136219</v>
      </c>
      <c r="D17" s="4">
        <v>-3.9802451182047833</v>
      </c>
      <c r="E17" s="4">
        <v>1.4121466229488017E-4</v>
      </c>
      <c r="F17" s="4">
        <v>-8.2558212540524529</v>
      </c>
      <c r="G17" s="4">
        <v>-2.7571656280105654</v>
      </c>
      <c r="H17" s="4">
        <v>-8.2558212540524529</v>
      </c>
      <c r="I17" s="4">
        <v>-2.7571656280105654</v>
      </c>
    </row>
    <row r="18" spans="1:9" ht="15.75" thickBot="1" x14ac:dyDescent="0.3">
      <c r="A18" s="1" t="s">
        <v>1</v>
      </c>
      <c r="B18" s="5">
        <v>-1.4144865973391123E-5</v>
      </c>
      <c r="C18" s="5">
        <v>4.1174952284799126E-3</v>
      </c>
      <c r="D18" s="5">
        <v>-3.4353084068085471E-3</v>
      </c>
      <c r="E18" s="5">
        <v>0.99726680155377445</v>
      </c>
      <c r="F18" s="5">
        <v>-8.1968014020222333E-3</v>
      </c>
      <c r="G18" s="5">
        <v>8.1685116700754516E-3</v>
      </c>
      <c r="H18" s="5">
        <v>-8.1968014020222333E-3</v>
      </c>
      <c r="I18" s="5">
        <v>8.1685116700754516E-3</v>
      </c>
    </row>
    <row r="22" spans="1:9" x14ac:dyDescent="0.25">
      <c r="A22" t="s">
        <v>27</v>
      </c>
    </row>
    <row r="23" spans="1:9" ht="15.75" thickBot="1" x14ac:dyDescent="0.3"/>
    <row r="24" spans="1:9" x14ac:dyDescent="0.25">
      <c r="A24" s="2" t="s">
        <v>28</v>
      </c>
      <c r="B24" s="2" t="s">
        <v>31</v>
      </c>
      <c r="C24" s="2" t="s">
        <v>29</v>
      </c>
      <c r="D24" s="2" t="s">
        <v>30</v>
      </c>
    </row>
    <row r="25" spans="1:9" x14ac:dyDescent="0.25">
      <c r="A25">
        <v>1</v>
      </c>
      <c r="B25" s="4">
        <v>-5.5097891948033091</v>
      </c>
      <c r="C25" s="4">
        <v>-1.4902108051966909</v>
      </c>
      <c r="D25" s="4">
        <v>-0.48263594194347187</v>
      </c>
    </row>
    <row r="26" spans="1:9" x14ac:dyDescent="0.25">
      <c r="A26">
        <v>2</v>
      </c>
      <c r="B26" s="4">
        <v>-5.5126040231320141</v>
      </c>
      <c r="C26" s="4">
        <v>-0.48739597686798586</v>
      </c>
      <c r="D26" s="4">
        <v>-0.15785338260521514</v>
      </c>
    </row>
    <row r="27" spans="1:9" x14ac:dyDescent="0.25">
      <c r="A27">
        <v>3</v>
      </c>
      <c r="B27" s="4">
        <v>-5.5119392144312647</v>
      </c>
      <c r="C27" s="4">
        <v>-4.4880607855687353</v>
      </c>
      <c r="D27" s="4">
        <v>-1.453552368019922</v>
      </c>
    </row>
    <row r="28" spans="1:9" x14ac:dyDescent="0.25">
      <c r="A28">
        <v>4</v>
      </c>
      <c r="B28" s="4">
        <v>-5.511401709524276</v>
      </c>
      <c r="C28" s="4">
        <v>4.511401709524276</v>
      </c>
      <c r="D28" s="4">
        <v>1.4611118144954336</v>
      </c>
    </row>
    <row r="29" spans="1:9" x14ac:dyDescent="0.25">
      <c r="A29">
        <v>5</v>
      </c>
      <c r="B29" s="4">
        <v>-5.5103691343082177</v>
      </c>
      <c r="C29" s="4">
        <v>3.5103691343082177</v>
      </c>
      <c r="D29" s="4">
        <v>1.1369064751094173</v>
      </c>
    </row>
    <row r="30" spans="1:9" x14ac:dyDescent="0.25">
      <c r="A30">
        <v>6</v>
      </c>
      <c r="B30" s="4">
        <v>-5.510397424040165</v>
      </c>
      <c r="C30" s="4">
        <v>-0.48960257595983503</v>
      </c>
      <c r="D30" s="4">
        <v>-0.15856803587941795</v>
      </c>
    </row>
    <row r="31" spans="1:9" x14ac:dyDescent="0.25">
      <c r="A31">
        <v>7</v>
      </c>
      <c r="B31" s="4">
        <v>-5.5106520316276857</v>
      </c>
      <c r="C31" s="4">
        <v>-0.48934796837231431</v>
      </c>
      <c r="D31" s="4">
        <v>-0.15848557588624082</v>
      </c>
    </row>
    <row r="32" spans="1:9" x14ac:dyDescent="0.25">
      <c r="A32">
        <v>8</v>
      </c>
      <c r="B32" s="4">
        <v>-5.5114158543902487</v>
      </c>
      <c r="C32" s="4">
        <v>0.51141585439024873</v>
      </c>
      <c r="D32" s="4">
        <v>0.16563272239586579</v>
      </c>
    </row>
    <row r="33" spans="1:4" x14ac:dyDescent="0.25">
      <c r="A33">
        <v>9</v>
      </c>
      <c r="B33" s="4">
        <v>-5.5109490738131273</v>
      </c>
      <c r="C33" s="4">
        <v>-4.4890509261868727</v>
      </c>
      <c r="D33" s="4">
        <v>-1.4538730457711668</v>
      </c>
    </row>
    <row r="34" spans="1:4" x14ac:dyDescent="0.25">
      <c r="A34">
        <v>10</v>
      </c>
      <c r="B34" s="4">
        <v>-5.5108359148853401</v>
      </c>
      <c r="C34" s="4">
        <v>1.5108359148853401</v>
      </c>
      <c r="D34" s="4">
        <v>0.48931581515842598</v>
      </c>
    </row>
    <row r="35" spans="1:4" x14ac:dyDescent="0.25">
      <c r="A35">
        <v>11</v>
      </c>
      <c r="B35" s="4">
        <v>-5.5118260555034775</v>
      </c>
      <c r="C35" s="4">
        <v>-3.4881739444965225</v>
      </c>
      <c r="D35" s="4">
        <v>-1.1297180986032036</v>
      </c>
    </row>
    <row r="36" spans="1:4" x14ac:dyDescent="0.25">
      <c r="A36">
        <v>12</v>
      </c>
      <c r="B36" s="4">
        <v>-5.5112744057305152</v>
      </c>
      <c r="C36" s="4">
        <v>0.51127440573051519</v>
      </c>
      <c r="D36" s="4">
        <v>0.16558691128854522</v>
      </c>
    </row>
    <row r="37" spans="1:4" x14ac:dyDescent="0.25">
      <c r="A37">
        <v>13</v>
      </c>
      <c r="B37" s="4">
        <v>-5.5114865787201159</v>
      </c>
      <c r="C37" s="4">
        <v>-1.4885134212798841</v>
      </c>
      <c r="D37" s="4">
        <v>-0.48208620865562357</v>
      </c>
    </row>
    <row r="38" spans="1:4" x14ac:dyDescent="0.25">
      <c r="A38">
        <v>14</v>
      </c>
      <c r="B38" s="4">
        <v>-5.5111895365346744</v>
      </c>
      <c r="C38" s="4">
        <v>2.5111895365346744</v>
      </c>
      <c r="D38" s="4">
        <v>0.81330126122930246</v>
      </c>
    </row>
    <row r="39" spans="1:4" x14ac:dyDescent="0.25">
      <c r="A39">
        <v>15</v>
      </c>
      <c r="B39" s="4">
        <v>-5.5108359148853401</v>
      </c>
      <c r="C39" s="4">
        <v>-4.4891640851146599</v>
      </c>
      <c r="D39" s="4">
        <v>-1.4539096946570234</v>
      </c>
    </row>
    <row r="40" spans="1:4" x14ac:dyDescent="0.25">
      <c r="A40">
        <v>16</v>
      </c>
      <c r="B40" s="4">
        <v>-5.5102276856484842</v>
      </c>
      <c r="C40" s="4">
        <v>4.5102276856484842</v>
      </c>
      <c r="D40" s="4">
        <v>1.4607315823046718</v>
      </c>
    </row>
    <row r="41" spans="1:4" x14ac:dyDescent="0.25">
      <c r="A41">
        <v>17</v>
      </c>
      <c r="B41" s="4">
        <v>-5.5105247278339258</v>
      </c>
      <c r="C41" s="4">
        <v>2.5105247278339258</v>
      </c>
      <c r="D41" s="4">
        <v>0.8130859490248955</v>
      </c>
    </row>
    <row r="42" spans="1:4" x14ac:dyDescent="0.25">
      <c r="A42">
        <v>18</v>
      </c>
      <c r="B42" s="4">
        <v>-5.5118260555034775</v>
      </c>
      <c r="C42" s="4">
        <v>0.51182605550347748</v>
      </c>
      <c r="D42" s="4">
        <v>0.16576557460709593</v>
      </c>
    </row>
    <row r="43" spans="1:4" x14ac:dyDescent="0.25">
      <c r="A43">
        <v>19</v>
      </c>
      <c r="B43" s="4">
        <v>-5.5084312876698638</v>
      </c>
      <c r="C43" s="4">
        <v>0.50843128766986379</v>
      </c>
      <c r="D43" s="4">
        <v>0.16466610803139942</v>
      </c>
    </row>
    <row r="44" spans="1:4" x14ac:dyDescent="0.25">
      <c r="A44">
        <v>20</v>
      </c>
      <c r="B44" s="4">
        <v>-5.5099589331949899</v>
      </c>
      <c r="C44" s="4">
        <v>4.5099589331949899</v>
      </c>
      <c r="D44" s="4">
        <v>1.4606445412007625</v>
      </c>
    </row>
    <row r="45" spans="1:4" x14ac:dyDescent="0.25">
      <c r="A45">
        <v>21</v>
      </c>
      <c r="B45" s="4">
        <v>-5.512448429606307</v>
      </c>
      <c r="C45" s="4">
        <v>6.512448429606307</v>
      </c>
      <c r="D45" s="4">
        <v>2.1091926532947567</v>
      </c>
    </row>
    <row r="46" spans="1:4" x14ac:dyDescent="0.25">
      <c r="A46">
        <v>22</v>
      </c>
      <c r="B46" s="4">
        <v>-5.51092078408118</v>
      </c>
      <c r="C46" s="4">
        <v>-4.48907921591882</v>
      </c>
      <c r="D46" s="4">
        <v>-1.4538822079926312</v>
      </c>
    </row>
    <row r="47" spans="1:4" x14ac:dyDescent="0.25">
      <c r="A47">
        <v>23</v>
      </c>
      <c r="B47" s="4">
        <v>-5.5115714479159568</v>
      </c>
      <c r="C47" s="4">
        <v>2.5115714479159568</v>
      </c>
      <c r="D47" s="4">
        <v>0.81342495121906855</v>
      </c>
    </row>
    <row r="48" spans="1:4" x14ac:dyDescent="0.25">
      <c r="A48">
        <v>24</v>
      </c>
      <c r="B48" s="4">
        <v>-5.5127596166577213</v>
      </c>
      <c r="C48" s="4">
        <v>-3.4872403833422787</v>
      </c>
      <c r="D48" s="4">
        <v>-1.1294157452948872</v>
      </c>
    </row>
    <row r="49" spans="1:4" x14ac:dyDescent="0.25">
      <c r="A49">
        <v>25</v>
      </c>
      <c r="B49" s="4">
        <v>-5.5093365590921604</v>
      </c>
      <c r="C49" s="4">
        <v>-0.49066344090783964</v>
      </c>
      <c r="D49" s="4">
        <v>-0.15891161918432323</v>
      </c>
    </row>
    <row r="50" spans="1:4" x14ac:dyDescent="0.25">
      <c r="A50">
        <v>26</v>
      </c>
      <c r="B50" s="4">
        <v>-5.5127171820598013</v>
      </c>
      <c r="C50" s="4">
        <v>3.5127171820598013</v>
      </c>
      <c r="D50" s="4">
        <v>1.1376669394909411</v>
      </c>
    </row>
    <row r="51" spans="1:4" x14ac:dyDescent="0.25">
      <c r="A51">
        <v>27</v>
      </c>
      <c r="B51" s="4">
        <v>-5.5103691343082177</v>
      </c>
      <c r="C51" s="4">
        <v>3.5103691343082177</v>
      </c>
      <c r="D51" s="4">
        <v>1.1369064751094173</v>
      </c>
    </row>
    <row r="52" spans="1:4" x14ac:dyDescent="0.25">
      <c r="A52">
        <v>28</v>
      </c>
      <c r="B52" s="4">
        <v>-5.5101852510505642</v>
      </c>
      <c r="C52" s="4">
        <v>-2.4898147489494358</v>
      </c>
      <c r="D52" s="4">
        <v>-0.80637858914554872</v>
      </c>
    </row>
    <row r="53" spans="1:4" x14ac:dyDescent="0.25">
      <c r="A53">
        <v>29</v>
      </c>
      <c r="B53" s="4">
        <v>-5.5103125548443241</v>
      </c>
      <c r="C53" s="4">
        <v>-3.4896874451556759</v>
      </c>
      <c r="D53" s="4">
        <v>-1.1302082774515352</v>
      </c>
    </row>
    <row r="54" spans="1:4" x14ac:dyDescent="0.25">
      <c r="A54">
        <v>30</v>
      </c>
      <c r="B54" s="4">
        <v>-5.5113734197923288</v>
      </c>
      <c r="C54" s="4">
        <v>3.5113734197923288</v>
      </c>
      <c r="D54" s="4">
        <v>1.1372317339713944</v>
      </c>
    </row>
    <row r="55" spans="1:4" x14ac:dyDescent="0.25">
      <c r="A55">
        <v>31</v>
      </c>
      <c r="B55" s="4">
        <v>-5.5112178262666216</v>
      </c>
      <c r="C55" s="4">
        <v>-2.4887821737333784</v>
      </c>
      <c r="D55" s="4">
        <v>-0.80604416806210777</v>
      </c>
    </row>
    <row r="56" spans="1:4" x14ac:dyDescent="0.25">
      <c r="A56">
        <v>32</v>
      </c>
      <c r="B56" s="4">
        <v>-5.513537584286258</v>
      </c>
      <c r="C56" s="4">
        <v>-3.486462415713742</v>
      </c>
      <c r="D56" s="4">
        <v>-1.1291637842046234</v>
      </c>
    </row>
    <row r="57" spans="1:4" x14ac:dyDescent="0.25">
      <c r="A57">
        <v>33</v>
      </c>
      <c r="B57" s="4">
        <v>-5.5113309851944088</v>
      </c>
      <c r="C57" s="4">
        <v>-1.4886690148055912</v>
      </c>
      <c r="D57" s="4">
        <v>-0.48213660087367632</v>
      </c>
    </row>
    <row r="58" spans="1:4" x14ac:dyDescent="0.25">
      <c r="A58">
        <v>34</v>
      </c>
      <c r="B58" s="4">
        <v>-5.5100296575248571</v>
      </c>
      <c r="C58" s="4">
        <v>3.5100296575248571</v>
      </c>
      <c r="D58" s="4">
        <v>1.136796528451848</v>
      </c>
    </row>
    <row r="59" spans="1:4" x14ac:dyDescent="0.25">
      <c r="A59">
        <v>35</v>
      </c>
      <c r="B59" s="4">
        <v>-5.5121938220187854</v>
      </c>
      <c r="C59" s="4">
        <v>0.51219382201878538</v>
      </c>
      <c r="D59" s="4">
        <v>0.16588468348612964</v>
      </c>
    </row>
    <row r="60" spans="1:4" x14ac:dyDescent="0.25">
      <c r="A60">
        <v>36</v>
      </c>
      <c r="B60" s="4">
        <v>-5.5126323128639605</v>
      </c>
      <c r="C60" s="4">
        <v>2.5126323128639605</v>
      </c>
      <c r="D60" s="4">
        <v>0.81376853452397357</v>
      </c>
    </row>
    <row r="61" spans="1:4" x14ac:dyDescent="0.25">
      <c r="A61">
        <v>37</v>
      </c>
      <c r="B61" s="4">
        <v>-5.5110197981429945</v>
      </c>
      <c r="C61" s="4">
        <v>-0.48898020185700553</v>
      </c>
      <c r="D61" s="4">
        <v>-0.15836646700720683</v>
      </c>
    </row>
    <row r="62" spans="1:4" x14ac:dyDescent="0.25">
      <c r="A62">
        <v>38</v>
      </c>
      <c r="B62" s="4">
        <v>-5.5109915084110472</v>
      </c>
      <c r="C62" s="4">
        <v>-4.4890084915889528</v>
      </c>
      <c r="D62" s="4">
        <v>-1.4538593024389708</v>
      </c>
    </row>
    <row r="63" spans="1:4" x14ac:dyDescent="0.25">
      <c r="A63">
        <v>39</v>
      </c>
      <c r="B63" s="4">
        <v>-5.510114526720697</v>
      </c>
      <c r="C63" s="4">
        <v>1.510114526720697</v>
      </c>
      <c r="D63" s="4">
        <v>0.48908217851109043</v>
      </c>
    </row>
    <row r="64" spans="1:4" x14ac:dyDescent="0.25">
      <c r="A64">
        <v>40</v>
      </c>
      <c r="B64" s="4">
        <v>-5.5115573030499831</v>
      </c>
      <c r="C64" s="4">
        <v>-1.4884426969500169</v>
      </c>
      <c r="D64" s="4">
        <v>-0.48206330310196316</v>
      </c>
    </row>
    <row r="65" spans="1:4" x14ac:dyDescent="0.25">
      <c r="A65">
        <v>41</v>
      </c>
      <c r="B65" s="4">
        <v>-5.511401709524276</v>
      </c>
      <c r="C65" s="4">
        <v>3.511401709524276</v>
      </c>
      <c r="D65" s="4">
        <v>1.1372408961928586</v>
      </c>
    </row>
    <row r="66" spans="1:4" x14ac:dyDescent="0.25">
      <c r="A66">
        <v>42</v>
      </c>
      <c r="B66" s="4">
        <v>-5.5109915084110472</v>
      </c>
      <c r="C66" s="4">
        <v>1.5109915084110472</v>
      </c>
      <c r="D66" s="4">
        <v>0.48936620737647868</v>
      </c>
    </row>
    <row r="67" spans="1:4" x14ac:dyDescent="0.25">
      <c r="A67">
        <v>43</v>
      </c>
      <c r="B67" s="4">
        <v>-5.5117128965756903</v>
      </c>
      <c r="C67" s="4">
        <v>-4.4882871034243097</v>
      </c>
      <c r="D67" s="4">
        <v>-1.4536256657916351</v>
      </c>
    </row>
    <row r="68" spans="1:4" x14ac:dyDescent="0.25">
      <c r="A68">
        <v>44</v>
      </c>
      <c r="B68" s="4">
        <v>-5.5121513874208654</v>
      </c>
      <c r="C68" s="4">
        <v>-4.4878486125791346</v>
      </c>
      <c r="D68" s="4">
        <v>-1.4534836513589411</v>
      </c>
    </row>
    <row r="69" spans="1:4" x14ac:dyDescent="0.25">
      <c r="A69">
        <v>45</v>
      </c>
      <c r="B69" s="4">
        <v>-5.5104115689061386</v>
      </c>
      <c r="C69" s="4">
        <v>-3.4895884310938614</v>
      </c>
      <c r="D69" s="4">
        <v>-1.1301762096764105</v>
      </c>
    </row>
    <row r="70" spans="1:4" x14ac:dyDescent="0.25">
      <c r="A70">
        <v>46</v>
      </c>
      <c r="B70" s="4">
        <v>-5.5120806630909982</v>
      </c>
      <c r="C70" s="4">
        <v>-4.4879193369090018</v>
      </c>
      <c r="D70" s="4">
        <v>-1.4535065569126016</v>
      </c>
    </row>
    <row r="71" spans="1:4" x14ac:dyDescent="0.25">
      <c r="A71">
        <v>47</v>
      </c>
      <c r="B71" s="4">
        <v>-5.5120382284930782</v>
      </c>
      <c r="C71" s="4">
        <v>-4.4879617715069218</v>
      </c>
      <c r="D71" s="4">
        <v>-1.4535203002447976</v>
      </c>
    </row>
    <row r="72" spans="1:4" x14ac:dyDescent="0.25">
      <c r="A72">
        <v>48</v>
      </c>
      <c r="B72" s="4">
        <v>-5.5099589331949899</v>
      </c>
      <c r="C72" s="4">
        <v>-1.4900410668050101</v>
      </c>
      <c r="D72" s="4">
        <v>-0.48258096861468697</v>
      </c>
    </row>
    <row r="73" spans="1:4" x14ac:dyDescent="0.25">
      <c r="A73">
        <v>49</v>
      </c>
      <c r="B73" s="4">
        <v>-5.5127879063896676</v>
      </c>
      <c r="C73" s="4">
        <v>6.5127879063896676</v>
      </c>
      <c r="D73" s="4">
        <v>2.1093025999523261</v>
      </c>
    </row>
    <row r="74" spans="1:4" x14ac:dyDescent="0.25">
      <c r="A74">
        <v>50</v>
      </c>
      <c r="B74" s="4">
        <v>-5.5110622327409144</v>
      </c>
      <c r="C74" s="4">
        <v>7.5110622327409144</v>
      </c>
      <c r="D74" s="4">
        <v>2.4326146227455885</v>
      </c>
    </row>
    <row r="75" spans="1:4" x14ac:dyDescent="0.25">
      <c r="A75">
        <v>51</v>
      </c>
      <c r="B75" s="4">
        <v>-5.5111753916687016</v>
      </c>
      <c r="C75" s="4">
        <v>-4.4888246083312984</v>
      </c>
      <c r="D75" s="4">
        <v>-1.4537997479994538</v>
      </c>
    </row>
    <row r="76" spans="1:4" x14ac:dyDescent="0.25">
      <c r="A76">
        <v>52</v>
      </c>
      <c r="B76" s="4">
        <v>-5.5084737222677838</v>
      </c>
      <c r="C76" s="4">
        <v>3.5084737222677838</v>
      </c>
      <c r="D76" s="4">
        <v>1.1362926062713203</v>
      </c>
    </row>
    <row r="77" spans="1:4" x14ac:dyDescent="0.25">
      <c r="A77">
        <v>53</v>
      </c>
      <c r="B77" s="4">
        <v>-5.5107793354214465</v>
      </c>
      <c r="C77" s="4">
        <v>-0.48922066457855351</v>
      </c>
      <c r="D77" s="4">
        <v>-0.15844434588965212</v>
      </c>
    </row>
    <row r="78" spans="1:4" x14ac:dyDescent="0.25">
      <c r="A78">
        <v>54</v>
      </c>
      <c r="B78" s="4">
        <v>-5.5099872229269362</v>
      </c>
      <c r="C78" s="4">
        <v>-1.4900127770730638</v>
      </c>
      <c r="D78" s="4">
        <v>-0.482571806393223</v>
      </c>
    </row>
    <row r="79" spans="1:4" x14ac:dyDescent="0.25">
      <c r="A79">
        <v>55</v>
      </c>
      <c r="B79" s="4">
        <v>-5.511967504163211</v>
      </c>
      <c r="C79" s="4">
        <v>2.511967504163211</v>
      </c>
      <c r="D79" s="4">
        <v>0.81355322231956628</v>
      </c>
    </row>
    <row r="80" spans="1:4" x14ac:dyDescent="0.25">
      <c r="A80">
        <v>56</v>
      </c>
      <c r="B80" s="4">
        <v>-5.5125191539361733</v>
      </c>
      <c r="C80" s="4">
        <v>-1.4874808460638267</v>
      </c>
      <c r="D80" s="4">
        <v>-0.48175178757218262</v>
      </c>
    </row>
    <row r="81" spans="1:4" x14ac:dyDescent="0.25">
      <c r="A81">
        <v>57</v>
      </c>
      <c r="B81" s="4">
        <v>-5.5107934802874201</v>
      </c>
      <c r="C81" s="4">
        <v>-0.48920651971257989</v>
      </c>
      <c r="D81" s="4">
        <v>-0.15843976477891997</v>
      </c>
    </row>
    <row r="82" spans="1:4" x14ac:dyDescent="0.25">
      <c r="A82">
        <v>58</v>
      </c>
      <c r="B82" s="4">
        <v>-5.5101286715866706</v>
      </c>
      <c r="C82" s="4">
        <v>-3.4898713284133294</v>
      </c>
      <c r="D82" s="4">
        <v>-1.130267831891052</v>
      </c>
    </row>
    <row r="83" spans="1:4" x14ac:dyDescent="0.25">
      <c r="A83">
        <v>59</v>
      </c>
      <c r="B83" s="4">
        <v>-5.5118260555034775</v>
      </c>
      <c r="C83" s="4">
        <v>0.51182605550347748</v>
      </c>
      <c r="D83" s="4">
        <v>0.16576557460709593</v>
      </c>
    </row>
    <row r="84" spans="1:4" x14ac:dyDescent="0.25">
      <c r="A84">
        <v>60</v>
      </c>
      <c r="B84" s="4">
        <v>-5.514060944327273</v>
      </c>
      <c r="C84" s="4">
        <v>4.514060944327273</v>
      </c>
      <c r="D84" s="4">
        <v>1.4619730633130623</v>
      </c>
    </row>
    <row r="85" spans="1:4" x14ac:dyDescent="0.25">
      <c r="A85">
        <v>61</v>
      </c>
      <c r="B85" s="4">
        <v>-5.5094355731539739</v>
      </c>
      <c r="C85" s="4">
        <v>0.50943557315397392</v>
      </c>
      <c r="D85" s="4">
        <v>0.1649913668933761</v>
      </c>
    </row>
    <row r="86" spans="1:4" x14ac:dyDescent="0.25">
      <c r="A86">
        <v>62</v>
      </c>
      <c r="B86" s="4">
        <v>-5.5115431581840095</v>
      </c>
      <c r="C86" s="4">
        <v>1.5115431581840095</v>
      </c>
      <c r="D86" s="4">
        <v>0.48954487069502939</v>
      </c>
    </row>
    <row r="87" spans="1:4" x14ac:dyDescent="0.25">
      <c r="A87">
        <v>63</v>
      </c>
      <c r="B87" s="4">
        <v>-5.5112602608645416</v>
      </c>
      <c r="C87" s="4">
        <v>2.5112602608645416</v>
      </c>
      <c r="D87" s="4">
        <v>0.81332416678296293</v>
      </c>
    </row>
    <row r="88" spans="1:4" x14ac:dyDescent="0.25">
      <c r="A88">
        <v>64</v>
      </c>
      <c r="B88" s="4">
        <v>-5.5128161961216149</v>
      </c>
      <c r="C88" s="4">
        <v>3.5128161961216149</v>
      </c>
      <c r="D88" s="4">
        <v>1.1376990072660655</v>
      </c>
    </row>
    <row r="89" spans="1:4" x14ac:dyDescent="0.25">
      <c r="A89">
        <v>65</v>
      </c>
      <c r="B89" s="4">
        <v>-5.5098599191331763</v>
      </c>
      <c r="C89" s="4">
        <v>-1.4901400808668237</v>
      </c>
      <c r="D89" s="4">
        <v>-0.4826130363898114</v>
      </c>
    </row>
    <row r="90" spans="1:4" x14ac:dyDescent="0.25">
      <c r="A90">
        <v>66</v>
      </c>
      <c r="B90" s="4">
        <v>-5.509067806638666</v>
      </c>
      <c r="C90" s="4">
        <v>2.509067806638666</v>
      </c>
      <c r="D90" s="4">
        <v>0.81261409461949219</v>
      </c>
    </row>
    <row r="91" spans="1:4" x14ac:dyDescent="0.25">
      <c r="A91">
        <v>67</v>
      </c>
      <c r="B91" s="4">
        <v>-5.5126747474618805</v>
      </c>
      <c r="C91" s="4">
        <v>-3.4873252525381195</v>
      </c>
      <c r="D91" s="4">
        <v>-1.1294432319592798</v>
      </c>
    </row>
    <row r="92" spans="1:4" x14ac:dyDescent="0.25">
      <c r="A92">
        <v>68</v>
      </c>
      <c r="B92" s="4">
        <v>-5.5106237418957393</v>
      </c>
      <c r="C92" s="4">
        <v>-4.4893762581042607</v>
      </c>
      <c r="D92" s="4">
        <v>-1.4539784113180045</v>
      </c>
    </row>
    <row r="93" spans="1:4" x14ac:dyDescent="0.25">
      <c r="A93">
        <v>69</v>
      </c>
      <c r="B93" s="4">
        <v>-5.5131839626369228</v>
      </c>
      <c r="C93" s="4">
        <v>-2.4868160373630772</v>
      </c>
      <c r="D93" s="4">
        <v>-0.80540739367035019</v>
      </c>
    </row>
    <row r="94" spans="1:4" x14ac:dyDescent="0.25">
      <c r="A94">
        <v>70</v>
      </c>
      <c r="B94" s="4">
        <v>-5.5120382284930782</v>
      </c>
      <c r="C94" s="4">
        <v>4.5120382284930782</v>
      </c>
      <c r="D94" s="4">
        <v>1.4613179644783765</v>
      </c>
    </row>
    <row r="95" spans="1:4" x14ac:dyDescent="0.25">
      <c r="A95">
        <v>71</v>
      </c>
      <c r="B95" s="4">
        <v>-5.5127454717917477</v>
      </c>
      <c r="C95" s="4">
        <v>3.5127454717917477</v>
      </c>
      <c r="D95" s="4">
        <v>1.1376761017124051</v>
      </c>
    </row>
    <row r="96" spans="1:4" x14ac:dyDescent="0.25">
      <c r="A96">
        <v>72</v>
      </c>
      <c r="B96" s="4">
        <v>-5.5115290133180359</v>
      </c>
      <c r="C96" s="4">
        <v>-1.4884709866819641</v>
      </c>
      <c r="D96" s="4">
        <v>-0.48207246532342746</v>
      </c>
    </row>
    <row r="97" spans="1:4" x14ac:dyDescent="0.25">
      <c r="A97">
        <v>73</v>
      </c>
      <c r="B97" s="4">
        <v>-5.5119533592972383</v>
      </c>
      <c r="C97" s="4">
        <v>2.5119533592972383</v>
      </c>
      <c r="D97" s="4">
        <v>0.81354864120883441</v>
      </c>
    </row>
    <row r="98" spans="1:4" x14ac:dyDescent="0.25">
      <c r="A98">
        <v>74</v>
      </c>
      <c r="B98" s="4">
        <v>-5.5112744057305152</v>
      </c>
      <c r="C98" s="4">
        <v>0.51127440573051519</v>
      </c>
      <c r="D98" s="4">
        <v>0.16558691128854522</v>
      </c>
    </row>
    <row r="99" spans="1:4" x14ac:dyDescent="0.25">
      <c r="A99">
        <v>75</v>
      </c>
      <c r="B99" s="4">
        <v>-5.5104115689061386</v>
      </c>
      <c r="C99" s="4">
        <v>1.5104115689061386</v>
      </c>
      <c r="D99" s="4">
        <v>0.489178381836464</v>
      </c>
    </row>
    <row r="100" spans="1:4" x14ac:dyDescent="0.25">
      <c r="A100">
        <v>76</v>
      </c>
      <c r="B100" s="4">
        <v>-5.5099872229269362</v>
      </c>
      <c r="C100" s="4">
        <v>1.5099872229269362</v>
      </c>
      <c r="D100" s="4">
        <v>0.48904094851450169</v>
      </c>
    </row>
    <row r="101" spans="1:4" x14ac:dyDescent="0.25">
      <c r="A101">
        <v>77</v>
      </c>
      <c r="B101" s="4">
        <v>-5.5088980682469852</v>
      </c>
      <c r="C101" s="4">
        <v>0.50889806824698525</v>
      </c>
      <c r="D101" s="4">
        <v>0.16481728468555754</v>
      </c>
    </row>
    <row r="102" spans="1:4" x14ac:dyDescent="0.25">
      <c r="A102">
        <v>78</v>
      </c>
      <c r="B102" s="4">
        <v>-5.5118684901013975</v>
      </c>
      <c r="C102" s="4">
        <v>-1.4881315098986025</v>
      </c>
      <c r="D102" s="4">
        <v>-0.48196251866585776</v>
      </c>
    </row>
    <row r="103" spans="1:4" x14ac:dyDescent="0.25">
      <c r="A103">
        <v>79</v>
      </c>
      <c r="B103" s="4">
        <v>-5.5096194564116283</v>
      </c>
      <c r="C103" s="4">
        <v>-2.4903805435883717</v>
      </c>
      <c r="D103" s="4">
        <v>-0.80656183357483158</v>
      </c>
    </row>
    <row r="104" spans="1:4" x14ac:dyDescent="0.25">
      <c r="A104">
        <v>80</v>
      </c>
      <c r="B104" s="4">
        <v>-5.5105530175658721</v>
      </c>
      <c r="C104" s="4">
        <v>-4.4894469824341279</v>
      </c>
      <c r="D104" s="4">
        <v>-1.4540013168716648</v>
      </c>
    </row>
    <row r="105" spans="1:4" x14ac:dyDescent="0.25">
      <c r="A105">
        <v>81</v>
      </c>
      <c r="B105" s="4">
        <v>-5.5099447883290162</v>
      </c>
      <c r="C105" s="4">
        <v>0.50994478832901624</v>
      </c>
      <c r="D105" s="4">
        <v>0.16515628687973066</v>
      </c>
    </row>
    <row r="106" spans="1:4" x14ac:dyDescent="0.25">
      <c r="A106">
        <v>82</v>
      </c>
      <c r="B106" s="4">
        <v>-5.51092078408118</v>
      </c>
      <c r="C106" s="4">
        <v>-0.48907921591881998</v>
      </c>
      <c r="D106" s="4">
        <v>-0.15839853478233154</v>
      </c>
    </row>
    <row r="107" spans="1:4" x14ac:dyDescent="0.25">
      <c r="A107">
        <v>83</v>
      </c>
      <c r="B107" s="4">
        <v>-5.509591166679682</v>
      </c>
      <c r="C107" s="4">
        <v>0.50959116667968196</v>
      </c>
      <c r="D107" s="4">
        <v>0.1650417591114291</v>
      </c>
    </row>
    <row r="108" spans="1:4" x14ac:dyDescent="0.25">
      <c r="A108">
        <v>84</v>
      </c>
      <c r="B108" s="4">
        <v>-5.5120382284930782</v>
      </c>
      <c r="C108" s="4">
        <v>0.51203822849307823</v>
      </c>
      <c r="D108" s="4">
        <v>0.16583429126807692</v>
      </c>
    </row>
    <row r="109" spans="1:4" x14ac:dyDescent="0.25">
      <c r="A109">
        <v>85</v>
      </c>
      <c r="B109" s="4">
        <v>-5.5123635604104662</v>
      </c>
      <c r="C109" s="4">
        <v>1.5123635604104662</v>
      </c>
      <c r="D109" s="4">
        <v>0.48981057511748938</v>
      </c>
    </row>
    <row r="110" spans="1:4" x14ac:dyDescent="0.25">
      <c r="A110">
        <v>86</v>
      </c>
      <c r="B110" s="4">
        <v>-5.5113168403284352</v>
      </c>
      <c r="C110" s="4">
        <v>-2.4886831596715648</v>
      </c>
      <c r="D110" s="4">
        <v>-0.80601210028698334</v>
      </c>
    </row>
    <row r="111" spans="1:4" x14ac:dyDescent="0.25">
      <c r="A111">
        <v>87</v>
      </c>
      <c r="B111" s="4">
        <v>-5.5110339430089672</v>
      </c>
      <c r="C111" s="4">
        <v>-0.48896605699103279</v>
      </c>
      <c r="D111" s="4">
        <v>-0.15836188589647496</v>
      </c>
    </row>
    <row r="112" spans="1:4" x14ac:dyDescent="0.25">
      <c r="A112">
        <v>88</v>
      </c>
      <c r="B112" s="4">
        <v>-5.5101003818547234</v>
      </c>
      <c r="C112" s="4">
        <v>-1.4898996181452766</v>
      </c>
      <c r="D112" s="4">
        <v>-0.48253515750736642</v>
      </c>
    </row>
    <row r="113" spans="1:4" x14ac:dyDescent="0.25">
      <c r="A113">
        <v>89</v>
      </c>
      <c r="B113" s="4">
        <v>-5.5094072834220276</v>
      </c>
      <c r="C113" s="4">
        <v>4.5094072834220276</v>
      </c>
      <c r="D113" s="4">
        <v>1.4604658778822117</v>
      </c>
    </row>
    <row r="114" spans="1:4" ht="15.75" thickBot="1" x14ac:dyDescent="0.3">
      <c r="A114" s="1">
        <v>90</v>
      </c>
      <c r="B114" s="5">
        <v>-5.5110763776068881</v>
      </c>
      <c r="C114" s="5">
        <v>-4.4889236223931119</v>
      </c>
      <c r="D114" s="5">
        <v>-1.4538318157745782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7593-CC4F-44CA-88FB-A07D771BB3C8}">
  <dimension ref="A1:H91"/>
  <sheetViews>
    <sheetView workbookViewId="0">
      <selection activeCell="R23" sqref="R23"/>
    </sheetView>
  </sheetViews>
  <sheetFormatPr defaultRowHeight="15" x14ac:dyDescent="0.25"/>
  <cols>
    <col min="2" max="2" width="12" bestFit="1" customWidth="1"/>
    <col min="4" max="4" width="27.28515625" bestFit="1" customWidth="1"/>
    <col min="5" max="5" width="11.5703125" bestFit="1" customWidth="1"/>
    <col min="6" max="6" width="26.7109375" bestFit="1" customWidth="1"/>
    <col min="7" max="7" width="32.7109375" customWidth="1"/>
  </cols>
  <sheetData>
    <row r="1" spans="1:8" x14ac:dyDescent="0.25">
      <c r="A1" t="s">
        <v>1</v>
      </c>
      <c r="B1" t="s">
        <v>80</v>
      </c>
      <c r="C1" t="s">
        <v>2</v>
      </c>
      <c r="D1" t="s">
        <v>61</v>
      </c>
      <c r="E1" t="s">
        <v>29</v>
      </c>
      <c r="F1" t="s">
        <v>37</v>
      </c>
      <c r="G1" s="8" t="s">
        <v>20</v>
      </c>
      <c r="H1" s="8" t="s">
        <v>39</v>
      </c>
    </row>
    <row r="2" spans="1:8" x14ac:dyDescent="0.25">
      <c r="A2">
        <v>233</v>
      </c>
      <c r="B2" s="4">
        <f t="shared" ref="B2:B33" si="0">EXP(-0.01*A2)</f>
        <v>9.7295747089532758E-2</v>
      </c>
      <c r="C2" s="13">
        <v>-7</v>
      </c>
      <c r="D2" s="4">
        <f>$H$2*Таблица245[[#This Row],[exp(-0.01Y)]]+$H$3</f>
        <v>-5.2389221579585312</v>
      </c>
      <c r="E2" s="4">
        <f>ABS(Таблица245[[#This Row],[Предсказанные значения]]-Таблица245[[#This Row],[Z]])</f>
        <v>1.7610778420414688</v>
      </c>
      <c r="F2" s="4">
        <f>ABS(Таблица245[[#This Row],[Остатки]]/Таблица245[[#This Row],[Z]])</f>
        <v>0.25158254886306697</v>
      </c>
      <c r="G2" s="8" t="s">
        <v>55</v>
      </c>
      <c r="H2" s="8">
        <v>6.0391731493160572</v>
      </c>
    </row>
    <row r="3" spans="1:8" x14ac:dyDescent="0.25">
      <c r="A3">
        <v>432</v>
      </c>
      <c r="B3" s="4">
        <f t="shared" si="0"/>
        <v>1.3299883542443767E-2</v>
      </c>
      <c r="C3">
        <v>-6</v>
      </c>
      <c r="D3" s="4">
        <f>$H$2*Таблица245[[#This Row],[exp(-0.01Y)]]+$H$3</f>
        <v>-5.7461877217457262</v>
      </c>
      <c r="E3" s="4">
        <f>ABS(Таблица245[[#This Row],[Предсказанные значения]]-Таблица245[[#This Row],[Z]])</f>
        <v>0.25381227825427377</v>
      </c>
      <c r="F3" s="4">
        <f>ABS(Таблица245[[#This Row],[Остатки]]/Таблица245[[#This Row],[Z]])</f>
        <v>4.2302046375712297E-2</v>
      </c>
      <c r="G3" s="8" t="s">
        <v>32</v>
      </c>
      <c r="H3" s="8">
        <v>-5.8265080213242832</v>
      </c>
    </row>
    <row r="4" spans="1:8" x14ac:dyDescent="0.25">
      <c r="A4">
        <v>385</v>
      </c>
      <c r="B4" s="4">
        <f t="shared" si="0"/>
        <v>2.1279736438377168E-2</v>
      </c>
      <c r="C4" s="13">
        <v>-10</v>
      </c>
      <c r="D4" s="4">
        <f>$H$2*Таблица245[[#This Row],[exp(-0.01Y)]]+$H$3</f>
        <v>-5.6979960084011134</v>
      </c>
      <c r="E4" s="4">
        <f>ABS(Таблица245[[#This Row],[Предсказанные значения]]-Таблица245[[#This Row],[Z]])</f>
        <v>4.3020039915988866</v>
      </c>
      <c r="F4" s="4">
        <f>ABS(Таблица245[[#This Row],[Остатки]]/Таблица245[[#This Row],[Z]])</f>
        <v>0.43020039915988867</v>
      </c>
      <c r="G4" s="15" t="s">
        <v>36</v>
      </c>
      <c r="H4" s="10">
        <f>SUM(Таблица245[Нормированные остатки])/COUNT(Таблица245[Y])</f>
        <v>0.9268650423022271</v>
      </c>
    </row>
    <row r="5" spans="1:8" x14ac:dyDescent="0.25">
      <c r="A5">
        <v>347</v>
      </c>
      <c r="B5" s="4">
        <f t="shared" si="0"/>
        <v>3.1117030661060859E-2</v>
      </c>
      <c r="C5">
        <v>-1</v>
      </c>
      <c r="D5" s="4">
        <f>$H$2*Таблица245[[#This Row],[exp(-0.01Y)]]+$H$3</f>
        <v>-5.63858688526956</v>
      </c>
      <c r="E5" s="4">
        <f>ABS(Таблица245[[#This Row],[Предсказанные значения]]-Таблица245[[#This Row],[Z]])</f>
        <v>4.63858688526956</v>
      </c>
      <c r="F5" s="4">
        <f>ABS(Таблица245[[#This Row],[Остатки]]/Таблица245[[#This Row],[Z]])</f>
        <v>4.63858688526956</v>
      </c>
    </row>
    <row r="6" spans="1:8" x14ac:dyDescent="0.25">
      <c r="A6">
        <v>274</v>
      </c>
      <c r="B6" s="4">
        <f t="shared" si="0"/>
        <v>6.457034689316847E-2</v>
      </c>
      <c r="C6" s="13">
        <v>-2</v>
      </c>
      <c r="D6" s="4">
        <f>$H$2*Таблица245[[#This Row],[exp(-0.01Y)]]+$H$3</f>
        <v>-5.4365565161250364</v>
      </c>
      <c r="E6" s="4">
        <f>ABS(Таблица245[[#This Row],[Предсказанные значения]]-Таблица245[[#This Row],[Z]])</f>
        <v>3.4365565161250364</v>
      </c>
      <c r="F6" s="4">
        <f>ABS(Таблица245[[#This Row],[Остатки]]/Таблица245[[#This Row],[Z]])</f>
        <v>1.7182782580625182</v>
      </c>
    </row>
    <row r="7" spans="1:8" x14ac:dyDescent="0.25">
      <c r="A7">
        <v>276</v>
      </c>
      <c r="B7" s="4">
        <f t="shared" si="0"/>
        <v>6.3291768359640704E-2</v>
      </c>
      <c r="C7">
        <v>-6</v>
      </c>
      <c r="D7" s="4">
        <f>$H$2*Таблица245[[#This Row],[exp(-0.01Y)]]+$H$3</f>
        <v>-5.4442780732740097</v>
      </c>
      <c r="E7" s="4">
        <f>ABS(Таблица245[[#This Row],[Предсказанные значения]]-Таблица245[[#This Row],[Z]])</f>
        <v>0.5557219267259903</v>
      </c>
      <c r="F7" s="4">
        <f>ABS(Таблица245[[#This Row],[Остатки]]/Таблица245[[#This Row],[Z]])</f>
        <v>9.2620321120998383E-2</v>
      </c>
    </row>
    <row r="8" spans="1:8" x14ac:dyDescent="0.25">
      <c r="A8">
        <v>294</v>
      </c>
      <c r="B8" s="4">
        <f t="shared" si="0"/>
        <v>5.2865728738350368E-2</v>
      </c>
      <c r="C8" s="13">
        <v>-6</v>
      </c>
      <c r="D8" s="4">
        <f>$H$2*Таблица245[[#This Row],[exp(-0.01Y)]]+$H$3</f>
        <v>-5.5072427318086117</v>
      </c>
      <c r="E8" s="4">
        <f>ABS(Таблица245[[#This Row],[Предсказанные значения]]-Таблица245[[#This Row],[Z]])</f>
        <v>0.49275726819138832</v>
      </c>
      <c r="F8" s="4">
        <f>ABS(Таблица245[[#This Row],[Остатки]]/Таблица245[[#This Row],[Z]])</f>
        <v>8.2126211365231391E-2</v>
      </c>
    </row>
    <row r="9" spans="1:8" x14ac:dyDescent="0.25">
      <c r="A9">
        <v>348</v>
      </c>
      <c r="B9" s="4">
        <f t="shared" si="0"/>
        <v>3.0807411032751076E-2</v>
      </c>
      <c r="C9">
        <v>-5</v>
      </c>
      <c r="D9" s="4">
        <f>$H$2*Таблица245[[#This Row],[exp(-0.01Y)]]+$H$3</f>
        <v>-5.64045673181535</v>
      </c>
      <c r="E9" s="4">
        <f>ABS(Таблица245[[#This Row],[Предсказанные значения]]-Таблица245[[#This Row],[Z]])</f>
        <v>0.64045673181535001</v>
      </c>
      <c r="F9" s="4">
        <f>ABS(Таблица245[[#This Row],[Остатки]]/Таблица245[[#This Row],[Z]])</f>
        <v>0.12809134636307001</v>
      </c>
    </row>
    <row r="10" spans="1:8" x14ac:dyDescent="0.25">
      <c r="A10">
        <v>315</v>
      </c>
      <c r="B10" s="4">
        <f t="shared" si="0"/>
        <v>4.2852126867040187E-2</v>
      </c>
      <c r="C10" s="13">
        <v>-10</v>
      </c>
      <c r="D10" s="4">
        <f>$H$2*Таблица245[[#This Row],[exp(-0.01Y)]]+$H$3</f>
        <v>-5.5677166073577693</v>
      </c>
      <c r="E10" s="4">
        <f>ABS(Таблица245[[#This Row],[Предсказанные значения]]-Таблица245[[#This Row],[Z]])</f>
        <v>4.4322833926422307</v>
      </c>
      <c r="F10" s="4">
        <f>ABS(Таблица245[[#This Row],[Остатки]]/Таблица245[[#This Row],[Z]])</f>
        <v>0.44322833926422306</v>
      </c>
    </row>
    <row r="11" spans="1:8" x14ac:dyDescent="0.25">
      <c r="A11">
        <v>307</v>
      </c>
      <c r="B11" s="4">
        <f t="shared" si="0"/>
        <v>4.642115485743125E-2</v>
      </c>
      <c r="C11">
        <v>-4</v>
      </c>
      <c r="D11" s="4">
        <f>$H$2*Таблица245[[#This Row],[exp(-0.01Y)]]+$H$3</f>
        <v>-5.546162629349042</v>
      </c>
      <c r="E11" s="4">
        <f>ABS(Таблица245[[#This Row],[Предсказанные значения]]-Таблица245[[#This Row],[Z]])</f>
        <v>1.546162629349042</v>
      </c>
      <c r="F11" s="4">
        <f>ABS(Таблица245[[#This Row],[Остатки]]/Таблица245[[#This Row],[Z]])</f>
        <v>0.38654065733726051</v>
      </c>
    </row>
    <row r="12" spans="1:8" x14ac:dyDescent="0.25">
      <c r="A12">
        <v>377</v>
      </c>
      <c r="B12" s="4">
        <f t="shared" si="0"/>
        <v>2.3052063287225571E-2</v>
      </c>
      <c r="C12" s="13">
        <v>-9</v>
      </c>
      <c r="D12" s="4">
        <f>$H$2*Таблица245[[#This Row],[exp(-0.01Y)]]+$H$3</f>
        <v>-5.6872926196837366</v>
      </c>
      <c r="E12" s="4">
        <f>ABS(Таблица245[[#This Row],[Предсказанные значения]]-Таблица245[[#This Row],[Z]])</f>
        <v>3.3127073803162634</v>
      </c>
      <c r="F12" s="4">
        <f>ABS(Таблица245[[#This Row],[Остатки]]/Таблица245[[#This Row],[Z]])</f>
        <v>0.36807859781291818</v>
      </c>
    </row>
    <row r="13" spans="1:8" x14ac:dyDescent="0.25">
      <c r="A13">
        <v>338</v>
      </c>
      <c r="B13" s="4">
        <f t="shared" si="0"/>
        <v>3.4047454734599344E-2</v>
      </c>
      <c r="C13">
        <v>-5</v>
      </c>
      <c r="D13" s="4">
        <f>$H$2*Таблица245[[#This Row],[exp(-0.01Y)]]+$H$3</f>
        <v>-5.6208895468885371</v>
      </c>
      <c r="E13" s="4">
        <f>ABS(Таблица245[[#This Row],[Предсказанные значения]]-Таблица245[[#This Row],[Z]])</f>
        <v>0.62088954688853715</v>
      </c>
      <c r="F13" s="4">
        <f>ABS(Таблица245[[#This Row],[Остатки]]/Таблица245[[#This Row],[Z]])</f>
        <v>0.12417790937770742</v>
      </c>
    </row>
    <row r="14" spans="1:8" x14ac:dyDescent="0.25">
      <c r="A14">
        <v>353</v>
      </c>
      <c r="B14" s="4">
        <f t="shared" si="0"/>
        <v>2.9304915867040746E-2</v>
      </c>
      <c r="C14" s="13">
        <v>-7</v>
      </c>
      <c r="D14" s="4">
        <f>$H$2*Таблица245[[#This Row],[exp(-0.01Y)]]+$H$3</f>
        <v>-5.6495305602770847</v>
      </c>
      <c r="E14" s="4">
        <f>ABS(Таблица245[[#This Row],[Предсказанные значения]]-Таблица245[[#This Row],[Z]])</f>
        <v>1.3504694397229153</v>
      </c>
      <c r="F14" s="4">
        <f>ABS(Таблица245[[#This Row],[Остатки]]/Таблица245[[#This Row],[Z]])</f>
        <v>0.1929242056747022</v>
      </c>
    </row>
    <row r="15" spans="1:8" x14ac:dyDescent="0.25">
      <c r="A15">
        <v>332</v>
      </c>
      <c r="B15" s="4">
        <f t="shared" si="0"/>
        <v>3.6152831754046412E-2</v>
      </c>
      <c r="C15">
        <v>-3</v>
      </c>
      <c r="D15" s="4">
        <f>$H$2*Таблица245[[#This Row],[exp(-0.01Y)]]+$H$3</f>
        <v>-5.6081748105235052</v>
      </c>
      <c r="E15" s="4">
        <f>ABS(Таблица245[[#This Row],[Предсказанные значения]]-Таблица245[[#This Row],[Z]])</f>
        <v>2.6081748105235052</v>
      </c>
      <c r="F15" s="4">
        <f>ABS(Таблица245[[#This Row],[Остатки]]/Таблица245[[#This Row],[Z]])</f>
        <v>0.86939160350783506</v>
      </c>
    </row>
    <row r="16" spans="1:8" x14ac:dyDescent="0.25">
      <c r="A16">
        <v>307</v>
      </c>
      <c r="B16" s="4">
        <f t="shared" si="0"/>
        <v>4.642115485743125E-2</v>
      </c>
      <c r="C16" s="13">
        <v>-10</v>
      </c>
      <c r="D16" s="4">
        <f>$H$2*Таблица245[[#This Row],[exp(-0.01Y)]]+$H$3</f>
        <v>-5.546162629349042</v>
      </c>
      <c r="E16" s="4">
        <f>ABS(Таблица245[[#This Row],[Предсказанные значения]]-Таблица245[[#This Row],[Z]])</f>
        <v>4.453837370650958</v>
      </c>
      <c r="F16" s="4">
        <f>ABS(Таблица245[[#This Row],[Остатки]]/Таблица245[[#This Row],[Z]])</f>
        <v>0.44538373706509582</v>
      </c>
    </row>
    <row r="17" spans="1:8" x14ac:dyDescent="0.25">
      <c r="A17">
        <v>264</v>
      </c>
      <c r="B17" s="4">
        <f t="shared" si="0"/>
        <v>7.1361269556386053E-2</v>
      </c>
      <c r="C17">
        <v>-1</v>
      </c>
      <c r="D17" s="4">
        <f>$H$2*Таблица245[[#This Row],[exp(-0.01Y)]]+$H$3</f>
        <v>-5.3955449583182515</v>
      </c>
      <c r="E17" s="4">
        <f>ABS(Таблица245[[#This Row],[Предсказанные значения]]-Таблица245[[#This Row],[Z]])</f>
        <v>4.3955449583182515</v>
      </c>
      <c r="F17" s="4">
        <f>ABS(Таблица245[[#This Row],[Остатки]]/Таблица245[[#This Row],[Z]])</f>
        <v>4.3955449583182515</v>
      </c>
    </row>
    <row r="18" spans="1:8" x14ac:dyDescent="0.25">
      <c r="A18">
        <v>285</v>
      </c>
      <c r="B18" s="4">
        <f t="shared" si="0"/>
        <v>5.7844320874838456E-2</v>
      </c>
      <c r="C18" s="13">
        <v>-3</v>
      </c>
      <c r="D18" s="4">
        <f>$H$2*Таблица245[[#This Row],[exp(-0.01Y)]]+$H$3</f>
        <v>-5.4771761518565363</v>
      </c>
      <c r="E18" s="4">
        <f>ABS(Таблица245[[#This Row],[Предсказанные значения]]-Таблица245[[#This Row],[Z]])</f>
        <v>2.4771761518565363</v>
      </c>
      <c r="F18" s="4">
        <f>ABS(Таблица245[[#This Row],[Остатки]]/Таблица245[[#This Row],[Z]])</f>
        <v>0.82572538395217876</v>
      </c>
    </row>
    <row r="19" spans="1:8" x14ac:dyDescent="0.25">
      <c r="A19">
        <v>377</v>
      </c>
      <c r="B19" s="4">
        <f t="shared" si="0"/>
        <v>2.3052063287225571E-2</v>
      </c>
      <c r="C19">
        <v>-5</v>
      </c>
      <c r="D19" s="4">
        <f>$H$2*Таблица245[[#This Row],[exp(-0.01Y)]]+$H$3</f>
        <v>-5.6872926196837366</v>
      </c>
      <c r="E19" s="4">
        <f>ABS(Таблица245[[#This Row],[Предсказанные значения]]-Таблица245[[#This Row],[Z]])</f>
        <v>0.68729261968373656</v>
      </c>
      <c r="F19" s="4">
        <f>ABS(Таблица245[[#This Row],[Остатки]]/Таблица245[[#This Row],[Z]])</f>
        <v>0.13745852393674732</v>
      </c>
    </row>
    <row r="20" spans="1:8" x14ac:dyDescent="0.25">
      <c r="A20">
        <v>137</v>
      </c>
      <c r="B20" s="4">
        <f t="shared" si="0"/>
        <v>0.25410695955280027</v>
      </c>
      <c r="C20" s="13">
        <v>-5</v>
      </c>
      <c r="D20" s="4">
        <f>$H$2*Таблица245[[#This Row],[exp(-0.01Y)]]+$H$3</f>
        <v>-4.2919120941386701</v>
      </c>
      <c r="E20" s="4">
        <f>ABS(Таблица245[[#This Row],[Предсказанные значения]]-Таблица245[[#This Row],[Z]])</f>
        <v>0.70808790586132986</v>
      </c>
      <c r="F20" s="4">
        <f>ABS(Таблица245[[#This Row],[Остатки]]/Таблица245[[#This Row],[Z]])</f>
        <v>0.14161758117226597</v>
      </c>
    </row>
    <row r="21" spans="1:8" x14ac:dyDescent="0.25">
      <c r="A21">
        <v>245</v>
      </c>
      <c r="B21" s="4">
        <f t="shared" si="0"/>
        <v>8.6293586499370495E-2</v>
      </c>
      <c r="C21">
        <v>-1</v>
      </c>
      <c r="D21" s="4">
        <f>$H$2*Таблица245[[#This Row],[exp(-0.01Y)]]+$H$3</f>
        <v>-5.3053661107791026</v>
      </c>
      <c r="E21" s="4">
        <f>ABS(Таблица245[[#This Row],[Предсказанные значения]]-Таблица245[[#This Row],[Z]])</f>
        <v>4.3053661107791026</v>
      </c>
      <c r="F21" s="4">
        <f>ABS(Таблица245[[#This Row],[Остатки]]/Таблица245[[#This Row],[Z]])</f>
        <v>4.3053661107791026</v>
      </c>
    </row>
    <row r="22" spans="1:8" x14ac:dyDescent="0.25">
      <c r="A22">
        <v>421</v>
      </c>
      <c r="B22" s="4">
        <f t="shared" si="0"/>
        <v>1.4846368338086832E-2</v>
      </c>
      <c r="C22" s="13">
        <v>1</v>
      </c>
      <c r="D22" s="4">
        <f>$H$2*Таблица245[[#This Row],[exp(-0.01Y)]]+$H$3</f>
        <v>-5.7368482322920533</v>
      </c>
      <c r="E22" s="4">
        <f>ABS(Таблица245[[#This Row],[Предсказанные значения]]-Таблица245[[#This Row],[Z]])</f>
        <v>6.7368482322920533</v>
      </c>
      <c r="F22" s="4">
        <f>ABS(Таблица245[[#This Row],[Остатки]]/Таблица245[[#This Row],[Z]])</f>
        <v>6.7368482322920533</v>
      </c>
    </row>
    <row r="23" spans="1:8" x14ac:dyDescent="0.25">
      <c r="A23">
        <v>313</v>
      </c>
      <c r="B23" s="4">
        <f t="shared" si="0"/>
        <v>4.3717797252750941E-2</v>
      </c>
      <c r="C23">
        <v>-10</v>
      </c>
      <c r="D23" s="4">
        <f>$H$2*Таблица245[[#This Row],[exp(-0.01Y)]]+$H$3</f>
        <v>-5.5624886740082262</v>
      </c>
      <c r="E23" s="4">
        <f>ABS(Таблица245[[#This Row],[Предсказанные значения]]-Таблица245[[#This Row],[Z]])</f>
        <v>4.4375113259917738</v>
      </c>
      <c r="F23" s="4">
        <f>ABS(Таблица245[[#This Row],[Остатки]]/Таблица245[[#This Row],[Z]])</f>
        <v>0.44375113259917737</v>
      </c>
    </row>
    <row r="24" spans="1:8" x14ac:dyDescent="0.25">
      <c r="A24">
        <v>359</v>
      </c>
      <c r="B24" s="4">
        <f t="shared" si="0"/>
        <v>2.7598330423249287E-2</v>
      </c>
      <c r="C24" s="13">
        <v>-3</v>
      </c>
      <c r="D24" s="4">
        <f>$H$2*Таблица245[[#This Row],[exp(-0.01Y)]]+$H$3</f>
        <v>-5.6598369252662435</v>
      </c>
      <c r="E24" s="4">
        <f>ABS(Таблица245[[#This Row],[Предсказанные значения]]-Таблица245[[#This Row],[Z]])</f>
        <v>2.6598369252662435</v>
      </c>
      <c r="F24" s="4">
        <f>ABS(Таблица245[[#This Row],[Остатки]]/Таблица245[[#This Row],[Z]])</f>
        <v>0.88661230842208116</v>
      </c>
    </row>
    <row r="25" spans="1:8" x14ac:dyDescent="0.25">
      <c r="A25">
        <v>443</v>
      </c>
      <c r="B25" s="4">
        <f t="shared" si="0"/>
        <v>1.1914489672789647E-2</v>
      </c>
      <c r="C25">
        <v>-9</v>
      </c>
      <c r="D25" s="4">
        <f>$H$2*Таблица245[[#This Row],[exp(-0.01Y)]]+$H$3</f>
        <v>-5.7545543552045686</v>
      </c>
      <c r="E25" s="4">
        <f>ABS(Таблица245[[#This Row],[Предсказанные значения]]-Таблица245[[#This Row],[Z]])</f>
        <v>3.2454456447954314</v>
      </c>
      <c r="F25" s="4">
        <f>ABS(Таблица245[[#This Row],[Остатки]]/Таблица245[[#This Row],[Z]])</f>
        <v>0.36060507164393685</v>
      </c>
    </row>
    <row r="26" spans="1:8" x14ac:dyDescent="0.25">
      <c r="A26">
        <v>201</v>
      </c>
      <c r="B26" s="4">
        <f t="shared" si="0"/>
        <v>0.13398867466880493</v>
      </c>
      <c r="C26" s="13">
        <v>-6</v>
      </c>
      <c r="D26" s="4">
        <f>$H$2*Таблица245[[#This Row],[exp(-0.01Y)]]+$H$3</f>
        <v>-5.0173272149519921</v>
      </c>
      <c r="E26" s="4">
        <f>ABS(Таблица245[[#This Row],[Предсказанные значения]]-Таблица245[[#This Row],[Z]])</f>
        <v>0.98267278504800792</v>
      </c>
      <c r="F26" s="4">
        <f>ABS(Таблица245[[#This Row],[Остатки]]/Таблица245[[#This Row],[Z]])</f>
        <v>0.16377879750800131</v>
      </c>
      <c r="G26" s="8" t="s">
        <v>47</v>
      </c>
      <c r="H26" s="10">
        <f>_xlfn.COVARIANCE.S(Таблица245[exp(-0.01Y)], Таблица245[Z])/SQRT(_xlfn.VAR.S(Таблица245[exp(-0.01Y)])*_xlfn.VAR.S(Таблица245[Z]))</f>
        <v>9.0620319486835021E-2</v>
      </c>
    </row>
    <row r="27" spans="1:8" x14ac:dyDescent="0.25">
      <c r="A27">
        <v>440</v>
      </c>
      <c r="B27" s="4">
        <f t="shared" si="0"/>
        <v>1.2277339903068436E-2</v>
      </c>
      <c r="C27">
        <v>-2</v>
      </c>
      <c r="D27" s="4">
        <f>$H$2*Таблица245[[#This Row],[exp(-0.01Y)]]+$H$3</f>
        <v>-5.7523630398366459</v>
      </c>
      <c r="E27" s="4">
        <f>ABS(Таблица245[[#This Row],[Предсказанные значения]]-Таблица245[[#This Row],[Z]])</f>
        <v>3.7523630398366459</v>
      </c>
      <c r="F27" s="4">
        <f>ABS(Таблица245[[#This Row],[Остатки]]/Таблица245[[#This Row],[Z]])</f>
        <v>1.8761815199183229</v>
      </c>
      <c r="G27" s="8" t="s">
        <v>48</v>
      </c>
      <c r="H27" s="16">
        <f>1-SUMSQ(Таблица245[Остатки])/DEVSQ(Таблица245[Z])</f>
        <v>8.2120423038959389E-3</v>
      </c>
    </row>
    <row r="28" spans="1:8" x14ac:dyDescent="0.25">
      <c r="A28">
        <v>274</v>
      </c>
      <c r="B28" s="4">
        <f t="shared" si="0"/>
        <v>6.457034689316847E-2</v>
      </c>
      <c r="C28" s="13">
        <v>-2</v>
      </c>
      <c r="D28" s="4">
        <f>$H$2*Таблица245[[#This Row],[exp(-0.01Y)]]+$H$3</f>
        <v>-5.4365565161250364</v>
      </c>
      <c r="E28" s="4">
        <f>ABS(Таблица245[[#This Row],[Предсказанные значения]]-Таблица245[[#This Row],[Z]])</f>
        <v>3.4365565161250364</v>
      </c>
      <c r="F28" s="4">
        <f>ABS(Таблица245[[#This Row],[Остатки]]/Таблица245[[#This Row],[Z]])</f>
        <v>1.7182782580625182</v>
      </c>
      <c r="G28" t="s">
        <v>81</v>
      </c>
    </row>
    <row r="29" spans="1:8" x14ac:dyDescent="0.25">
      <c r="A29">
        <v>261</v>
      </c>
      <c r="B29" s="4">
        <f t="shared" si="0"/>
        <v>7.3534543763057097E-2</v>
      </c>
      <c r="C29">
        <v>-8</v>
      </c>
      <c r="D29" s="4">
        <f>$H$2*Таблица245[[#This Row],[exp(-0.01Y)]]+$H$3</f>
        <v>-5.3824201790832227</v>
      </c>
      <c r="E29" s="4">
        <f>ABS(Таблица245[[#This Row],[Предсказанные значения]]-Таблица245[[#This Row],[Z]])</f>
        <v>2.6175798209167773</v>
      </c>
      <c r="F29" s="4">
        <f>ABS(Таблица245[[#This Row],[Остатки]]/Таблица245[[#This Row],[Z]])</f>
        <v>0.32719747761459717</v>
      </c>
    </row>
    <row r="30" spans="1:8" x14ac:dyDescent="0.25">
      <c r="A30">
        <v>270</v>
      </c>
      <c r="B30" s="4">
        <f t="shared" si="0"/>
        <v>6.7205512739749756E-2</v>
      </c>
      <c r="C30" s="13">
        <v>-9</v>
      </c>
      <c r="D30" s="4">
        <f>$H$2*Таблица245[[#This Row],[exp(-0.01Y)]]+$H$3</f>
        <v>-5.420642293300368</v>
      </c>
      <c r="E30" s="4">
        <f>ABS(Таблица245[[#This Row],[Предсказанные значения]]-Таблица245[[#This Row],[Z]])</f>
        <v>3.579357706699632</v>
      </c>
      <c r="F30" s="4">
        <f>ABS(Таблица245[[#This Row],[Остатки]]/Таблица245[[#This Row],[Z]])</f>
        <v>0.3977064118555147</v>
      </c>
      <c r="G30" s="8" t="s">
        <v>50</v>
      </c>
      <c r="H30" s="8" t="s">
        <v>39</v>
      </c>
    </row>
    <row r="31" spans="1:8" x14ac:dyDescent="0.25">
      <c r="A31">
        <v>345</v>
      </c>
      <c r="B31" s="4">
        <f t="shared" si="0"/>
        <v>3.1745636378067939E-2</v>
      </c>
      <c r="C31">
        <v>-2</v>
      </c>
      <c r="D31" s="4">
        <f>$H$2*Таблица245[[#This Row],[exp(-0.01Y)]]+$H$3</f>
        <v>-5.6347906265019043</v>
      </c>
      <c r="E31" s="4">
        <f>ABS(Таблица245[[#This Row],[Предсказанные значения]]-Таблица245[[#This Row],[Z]])</f>
        <v>3.6347906265019043</v>
      </c>
      <c r="F31" s="4">
        <f>ABS(Таблица245[[#This Row],[Остатки]]/Таблица245[[#This Row],[Z]])</f>
        <v>1.8173953132509522</v>
      </c>
      <c r="G31" s="8" t="s">
        <v>52</v>
      </c>
      <c r="H31" s="10">
        <f>help_exponential_yz!E12</f>
        <v>0.72864337294591752</v>
      </c>
    </row>
    <row r="32" spans="1:8" x14ac:dyDescent="0.25">
      <c r="A32">
        <v>334</v>
      </c>
      <c r="B32" s="4">
        <f t="shared" si="0"/>
        <v>3.543695772159864E-2</v>
      </c>
      <c r="C32" s="13">
        <v>-8</v>
      </c>
      <c r="D32" s="4">
        <f>$H$2*Таблица245[[#This Row],[exp(-0.01Y)]]+$H$3</f>
        <v>-5.6124980977585563</v>
      </c>
      <c r="E32" s="4">
        <f>ABS(Таблица245[[#This Row],[Предсказанные значения]]-Таблица245[[#This Row],[Z]])</f>
        <v>2.3875019022414437</v>
      </c>
      <c r="F32" s="4">
        <f>ABS(Таблица245[[#This Row],[Остатки]]/Таблица245[[#This Row],[Z]])</f>
        <v>0.29843773778018046</v>
      </c>
      <c r="G32" s="8" t="s">
        <v>51</v>
      </c>
      <c r="H32" s="10">
        <f>FINV(0.05,help_exponential_yz!B12,help_exponential_yz!B13)</f>
        <v>3.9493210068606932</v>
      </c>
    </row>
    <row r="33" spans="1:8" x14ac:dyDescent="0.25">
      <c r="A33">
        <v>498</v>
      </c>
      <c r="B33" s="4">
        <f t="shared" si="0"/>
        <v>6.8740625574962482E-3</v>
      </c>
      <c r="C33">
        <v>-9</v>
      </c>
      <c r="D33" s="4">
        <f>$H$2*Таблица245[[#This Row],[exp(-0.01Y)]]+$H$3</f>
        <v>-5.7849943673003335</v>
      </c>
      <c r="E33" s="4">
        <f>ABS(Таблица245[[#This Row],[Предсказанные значения]]-Таблица245[[#This Row],[Z]])</f>
        <v>3.2150056326996665</v>
      </c>
      <c r="F33" s="4">
        <f>ABS(Таблица245[[#This Row],[Остатки]]/Таблица245[[#This Row],[Z]])</f>
        <v>0.35722284807774074</v>
      </c>
      <c r="G33" t="s">
        <v>82</v>
      </c>
    </row>
    <row r="34" spans="1:8" x14ac:dyDescent="0.25">
      <c r="A34">
        <v>342</v>
      </c>
      <c r="B34" s="4">
        <f t="shared" ref="B34:B65" si="1">EXP(-0.01*A34)</f>
        <v>3.2712434939019819E-2</v>
      </c>
      <c r="C34" s="13">
        <v>-7</v>
      </c>
      <c r="D34" s="4">
        <f>$H$2*Таблица245[[#This Row],[exp(-0.01Y)]]+$H$3</f>
        <v>-5.6289519625918061</v>
      </c>
      <c r="E34" s="4">
        <f>ABS(Таблица245[[#This Row],[Предсказанные значения]]-Таблица245[[#This Row],[Z]])</f>
        <v>1.3710480374081939</v>
      </c>
      <c r="F34" s="4">
        <f>ABS(Таблица245[[#This Row],[Остатки]]/Таблица245[[#This Row],[Z]])</f>
        <v>0.1958640053440277</v>
      </c>
    </row>
    <row r="35" spans="1:8" x14ac:dyDescent="0.25">
      <c r="A35">
        <v>250</v>
      </c>
      <c r="B35" s="4">
        <f t="shared" si="1"/>
        <v>8.20849986238988E-2</v>
      </c>
      <c r="C35">
        <v>-2</v>
      </c>
      <c r="D35" s="4">
        <f>$H$2*Таблица245[[#This Row],[exp(-0.01Y)]]+$H$3</f>
        <v>-5.3307825016731885</v>
      </c>
      <c r="E35" s="4">
        <f>ABS(Таблица245[[#This Row],[Предсказанные значения]]-Таблица245[[#This Row],[Z]])</f>
        <v>3.3307825016731885</v>
      </c>
      <c r="F35" s="4">
        <f>ABS(Таблица245[[#This Row],[Остатки]]/Таблица245[[#This Row],[Z]])</f>
        <v>1.6653912508365942</v>
      </c>
      <c r="G35" s="8" t="s">
        <v>54</v>
      </c>
      <c r="H35" s="8" t="s">
        <v>39</v>
      </c>
    </row>
    <row r="36" spans="1:8" x14ac:dyDescent="0.25">
      <c r="A36">
        <v>403</v>
      </c>
      <c r="B36" s="4">
        <f t="shared" si="1"/>
        <v>1.7774329953659442E-2</v>
      </c>
      <c r="C36" s="13">
        <v>-5</v>
      </c>
      <c r="D36" s="4">
        <f>$H$2*Таблица245[[#This Row],[exp(-0.01Y)]]+$H$3</f>
        <v>-5.7191657651210592</v>
      </c>
      <c r="E36" s="4">
        <f>ABS(Таблица245[[#This Row],[Предсказанные значения]]-Таблица245[[#This Row],[Z]])</f>
        <v>0.71916576512105923</v>
      </c>
      <c r="F36" s="4">
        <f>ABS(Таблица245[[#This Row],[Остатки]]/Таблица245[[#This Row],[Z]])</f>
        <v>0.14383315302421185</v>
      </c>
      <c r="G36" s="8" t="s">
        <v>21</v>
      </c>
      <c r="H36" s="10">
        <f>help_exponential_yz!D18</f>
        <v>0.8536060994076482</v>
      </c>
    </row>
    <row r="37" spans="1:8" x14ac:dyDescent="0.25">
      <c r="A37">
        <v>434</v>
      </c>
      <c r="B37" s="4">
        <f t="shared" si="1"/>
        <v>1.3036528203437736E-2</v>
      </c>
      <c r="C37">
        <v>-3</v>
      </c>
      <c r="D37" s="4">
        <f>$H$2*Таблица245[[#This Row],[exp(-0.01Y)]]+$H$3</f>
        <v>-5.7477781702377806</v>
      </c>
      <c r="E37" s="4">
        <f>ABS(Таблица245[[#This Row],[Предсказанные значения]]-Таблица245[[#This Row],[Z]])</f>
        <v>2.7477781702377806</v>
      </c>
      <c r="F37" s="4">
        <f>ABS(Таблица245[[#This Row],[Остатки]]/Таблица245[[#This Row],[Z]])</f>
        <v>0.91592605674592686</v>
      </c>
      <c r="G37" s="8" t="s">
        <v>53</v>
      </c>
      <c r="H37" s="10" cm="1">
        <f t="array" ref="H37">_xlfn.T.INV(0.95,COUNT(Таблица245[exp(-0.01Y)]-2))</f>
        <v>1.661961084030164</v>
      </c>
    </row>
    <row r="38" spans="1:8" x14ac:dyDescent="0.25">
      <c r="A38">
        <v>320</v>
      </c>
      <c r="B38" s="4">
        <f t="shared" si="1"/>
        <v>4.0762203978366211E-2</v>
      </c>
      <c r="C38" s="13">
        <v>-6</v>
      </c>
      <c r="D38" s="4">
        <f>$H$2*Таблица245[[#This Row],[exp(-0.01Y)]]+$H$3</f>
        <v>-5.5803380135511897</v>
      </c>
      <c r="E38" s="4">
        <f>ABS(Таблица245[[#This Row],[Предсказанные значения]]-Таблица245[[#This Row],[Z]])</f>
        <v>0.41966198644881025</v>
      </c>
      <c r="F38" s="4">
        <f>ABS(Таблица245[[#This Row],[Остатки]]/Таблица245[[#This Row],[Z]])</f>
        <v>6.9943664408135042E-2</v>
      </c>
      <c r="G38" t="s">
        <v>76</v>
      </c>
    </row>
    <row r="39" spans="1:8" x14ac:dyDescent="0.25">
      <c r="A39">
        <v>318</v>
      </c>
      <c r="B39" s="4">
        <f t="shared" si="1"/>
        <v>4.1585655121173161E-2</v>
      </c>
      <c r="C39">
        <v>-10</v>
      </c>
      <c r="D39" s="4">
        <f>$H$2*Таблица245[[#This Row],[exp(-0.01Y)]]+$H$3</f>
        <v>-5.5753650495197764</v>
      </c>
      <c r="E39" s="4">
        <f>ABS(Таблица245[[#This Row],[Предсказанные значения]]-Таблица245[[#This Row],[Z]])</f>
        <v>4.4246349504802236</v>
      </c>
      <c r="F39" s="4">
        <f>ABS(Таблица245[[#This Row],[Остатки]]/Таблица245[[#This Row],[Z]])</f>
        <v>0.44246349504802235</v>
      </c>
    </row>
    <row r="40" spans="1:8" x14ac:dyDescent="0.25">
      <c r="A40">
        <v>256</v>
      </c>
      <c r="B40" s="4">
        <f t="shared" si="1"/>
        <v>7.7304740443299741E-2</v>
      </c>
      <c r="C40" s="13">
        <v>-4</v>
      </c>
      <c r="D40" s="4">
        <f>$H$2*Таблица245[[#This Row],[exp(-0.01Y)]]+$H$3</f>
        <v>-5.3596513085242607</v>
      </c>
      <c r="E40" s="4">
        <f>ABS(Таблица245[[#This Row],[Предсказанные значения]]-Таблица245[[#This Row],[Z]])</f>
        <v>1.3596513085242607</v>
      </c>
      <c r="F40" s="4">
        <f>ABS(Таблица245[[#This Row],[Остатки]]/Таблица245[[#This Row],[Z]])</f>
        <v>0.33991282713106519</v>
      </c>
    </row>
    <row r="41" spans="1:8" x14ac:dyDescent="0.25">
      <c r="A41">
        <v>358</v>
      </c>
      <c r="B41" s="4">
        <f t="shared" si="1"/>
        <v>2.7875698255247015E-2</v>
      </c>
      <c r="C41">
        <v>-7</v>
      </c>
      <c r="D41" s="4">
        <f>$H$2*Таблица245[[#This Row],[exp(-0.01Y)]]+$H$3</f>
        <v>-5.6581618529027589</v>
      </c>
      <c r="E41" s="4">
        <f>ABS(Таблица245[[#This Row],[Предсказанные значения]]-Таблица245[[#This Row],[Z]])</f>
        <v>1.3418381470972411</v>
      </c>
      <c r="F41" s="4">
        <f>ABS(Таблица245[[#This Row],[Остатки]]/Таблица245[[#This Row],[Z]])</f>
        <v>0.19169116387103444</v>
      </c>
    </row>
    <row r="42" spans="1:8" x14ac:dyDescent="0.25">
      <c r="A42">
        <v>347</v>
      </c>
      <c r="B42" s="4">
        <f t="shared" si="1"/>
        <v>3.1117030661060859E-2</v>
      </c>
      <c r="C42" s="13">
        <v>-2</v>
      </c>
      <c r="D42" s="4">
        <f>$H$2*Таблица245[[#This Row],[exp(-0.01Y)]]+$H$3</f>
        <v>-5.63858688526956</v>
      </c>
      <c r="E42" s="4">
        <f>ABS(Таблица245[[#This Row],[Предсказанные значения]]-Таблица245[[#This Row],[Z]])</f>
        <v>3.63858688526956</v>
      </c>
      <c r="F42" s="4">
        <f>ABS(Таблица245[[#This Row],[Остатки]]/Таблица245[[#This Row],[Z]])</f>
        <v>1.81929344263478</v>
      </c>
    </row>
    <row r="43" spans="1:8" x14ac:dyDescent="0.25">
      <c r="A43">
        <v>318</v>
      </c>
      <c r="B43" s="4">
        <f t="shared" si="1"/>
        <v>4.1585655121173161E-2</v>
      </c>
      <c r="C43">
        <v>-4</v>
      </c>
      <c r="D43" s="4">
        <f>$H$2*Таблица245[[#This Row],[exp(-0.01Y)]]+$H$3</f>
        <v>-5.5753650495197764</v>
      </c>
      <c r="E43" s="4">
        <f>ABS(Таблица245[[#This Row],[Предсказанные значения]]-Таблица245[[#This Row],[Z]])</f>
        <v>1.5753650495197764</v>
      </c>
      <c r="F43" s="4">
        <f>ABS(Таблица245[[#This Row],[Остатки]]/Таблица245[[#This Row],[Z]])</f>
        <v>0.3938412623799441</v>
      </c>
    </row>
    <row r="44" spans="1:8" x14ac:dyDescent="0.25">
      <c r="A44">
        <v>369</v>
      </c>
      <c r="B44" s="4">
        <f t="shared" si="1"/>
        <v>2.4972002042276155E-2</v>
      </c>
      <c r="C44" s="13">
        <v>-10</v>
      </c>
      <c r="D44" s="4">
        <f>$H$2*Таблица245[[#This Row],[exp(-0.01Y)]]+$H$3</f>
        <v>-5.6756977771059036</v>
      </c>
      <c r="E44" s="4">
        <f>ABS(Таблица245[[#This Row],[Предсказанные значения]]-Таблица245[[#This Row],[Z]])</f>
        <v>4.3243022228940964</v>
      </c>
      <c r="F44" s="4">
        <f>ABS(Таблица245[[#This Row],[Остатки]]/Таблица245[[#This Row],[Z]])</f>
        <v>0.43243022228940964</v>
      </c>
    </row>
    <row r="45" spans="1:8" x14ac:dyDescent="0.25">
      <c r="A45">
        <v>400</v>
      </c>
      <c r="B45" s="4">
        <f t="shared" si="1"/>
        <v>1.8315638888734179E-2</v>
      </c>
      <c r="C45">
        <v>-10</v>
      </c>
      <c r="D45" s="4">
        <f>$H$2*Таблица245[[#This Row],[exp(-0.01Y)]]+$H$3</f>
        <v>-5.7158967067348705</v>
      </c>
      <c r="E45" s="4">
        <f>ABS(Таблица245[[#This Row],[Предсказанные значения]]-Таблица245[[#This Row],[Z]])</f>
        <v>4.2841032932651295</v>
      </c>
      <c r="F45" s="4">
        <f>ABS(Таблица245[[#This Row],[Остатки]]/Таблица245[[#This Row],[Z]])</f>
        <v>0.42841032932651296</v>
      </c>
    </row>
    <row r="46" spans="1:8" x14ac:dyDescent="0.25">
      <c r="A46">
        <v>277</v>
      </c>
      <c r="B46" s="4">
        <f t="shared" si="1"/>
        <v>6.2662004742153152E-2</v>
      </c>
      <c r="C46" s="13">
        <v>-9</v>
      </c>
      <c r="D46" s="4">
        <f>$H$2*Таблица245[[#This Row],[exp(-0.01Y)]]+$H$3</f>
        <v>-5.4480813248031561</v>
      </c>
      <c r="E46" s="4">
        <f>ABS(Таблица245[[#This Row],[Предсказанные значения]]-Таблица245[[#This Row],[Z]])</f>
        <v>3.5519186751968439</v>
      </c>
      <c r="F46" s="4">
        <f>ABS(Таблица245[[#This Row],[Остатки]]/Таблица245[[#This Row],[Z]])</f>
        <v>0.39465763057742709</v>
      </c>
    </row>
    <row r="47" spans="1:8" x14ac:dyDescent="0.25">
      <c r="A47">
        <v>395</v>
      </c>
      <c r="B47" s="4">
        <f t="shared" si="1"/>
        <v>1.925470177538692E-2</v>
      </c>
      <c r="C47">
        <v>-10</v>
      </c>
      <c r="D47" s="4">
        <f>$H$2*Таблица245[[#This Row],[exp(-0.01Y)]]+$H$3</f>
        <v>-5.7102255433642783</v>
      </c>
      <c r="E47" s="4">
        <f>ABS(Таблица245[[#This Row],[Предсказанные значения]]-Таблица245[[#This Row],[Z]])</f>
        <v>4.2897744566357217</v>
      </c>
      <c r="F47" s="4">
        <f>ABS(Таблица245[[#This Row],[Остатки]]/Таблица245[[#This Row],[Z]])</f>
        <v>0.42897744566357215</v>
      </c>
    </row>
    <row r="48" spans="1:8" x14ac:dyDescent="0.25">
      <c r="A48">
        <v>392</v>
      </c>
      <c r="B48" s="4">
        <f t="shared" si="1"/>
        <v>1.9841094744370288E-2</v>
      </c>
      <c r="C48" s="13">
        <v>-10</v>
      </c>
      <c r="D48" s="4">
        <f>$H$2*Таблица245[[#This Row],[exp(-0.01Y)]]+$H$3</f>
        <v>-5.7066842146910464</v>
      </c>
      <c r="E48" s="4">
        <f>ABS(Таблица245[[#This Row],[Предсказанные значения]]-Таблица245[[#This Row],[Z]])</f>
        <v>4.2933157853089536</v>
      </c>
      <c r="F48" s="4">
        <f>ABS(Таблица245[[#This Row],[Остатки]]/Таблица245[[#This Row],[Z]])</f>
        <v>0.42933157853089537</v>
      </c>
    </row>
    <row r="49" spans="1:6" x14ac:dyDescent="0.25">
      <c r="A49">
        <v>245</v>
      </c>
      <c r="B49" s="4">
        <f t="shared" si="1"/>
        <v>8.6293586499370495E-2</v>
      </c>
      <c r="C49">
        <v>-7</v>
      </c>
      <c r="D49" s="4">
        <f>$H$2*Таблица245[[#This Row],[exp(-0.01Y)]]+$H$3</f>
        <v>-5.3053661107791026</v>
      </c>
      <c r="E49" s="4">
        <f>ABS(Таблица245[[#This Row],[Предсказанные значения]]-Таблица245[[#This Row],[Z]])</f>
        <v>1.6946338892208974</v>
      </c>
      <c r="F49" s="4">
        <f>ABS(Таблица245[[#This Row],[Остатки]]/Таблица245[[#This Row],[Z]])</f>
        <v>0.24209055560298534</v>
      </c>
    </row>
    <row r="50" spans="1:6" x14ac:dyDescent="0.25">
      <c r="A50">
        <v>445</v>
      </c>
      <c r="B50" s="4">
        <f t="shared" si="1"/>
        <v>1.1678566970395442E-2</v>
      </c>
      <c r="C50" s="13">
        <v>1</v>
      </c>
      <c r="D50" s="4">
        <f>$H$2*Таблица245[[#This Row],[exp(-0.01Y)]]+$H$3</f>
        <v>-5.7559791332541819</v>
      </c>
      <c r="E50" s="4">
        <f>ABS(Таблица245[[#This Row],[Предсказанные значения]]-Таблица245[[#This Row],[Z]])</f>
        <v>6.7559791332541819</v>
      </c>
      <c r="F50" s="4">
        <f>ABS(Таблица245[[#This Row],[Остатки]]/Таблица245[[#This Row],[Z]])</f>
        <v>6.7559791332541819</v>
      </c>
    </row>
    <row r="51" spans="1:6" x14ac:dyDescent="0.25">
      <c r="A51">
        <v>323</v>
      </c>
      <c r="B51" s="4">
        <f t="shared" si="1"/>
        <v>3.9557498788398725E-2</v>
      </c>
      <c r="C51">
        <v>2</v>
      </c>
      <c r="D51" s="4">
        <f>$H$2*Таблица245[[#This Row],[exp(-0.01Y)]]+$H$3</f>
        <v>-5.587613436787283</v>
      </c>
      <c r="E51" s="4">
        <f>ABS(Таблица245[[#This Row],[Предсказанные значения]]-Таблица245[[#This Row],[Z]])</f>
        <v>7.587613436787283</v>
      </c>
      <c r="F51" s="4">
        <f>ABS(Таблица245[[#This Row],[Остатки]]/Таблица245[[#This Row],[Z]])</f>
        <v>3.7938067183936415</v>
      </c>
    </row>
    <row r="52" spans="1:6" x14ac:dyDescent="0.25">
      <c r="A52">
        <v>331</v>
      </c>
      <c r="B52" s="4">
        <f t="shared" si="1"/>
        <v>3.6516173753740402E-2</v>
      </c>
      <c r="C52" s="13">
        <v>-10</v>
      </c>
      <c r="D52" s="4">
        <f>$H$2*Таблица245[[#This Row],[exp(-0.01Y)]]+$H$3</f>
        <v>-5.6059805252749344</v>
      </c>
      <c r="E52" s="4">
        <f>ABS(Таблица245[[#This Row],[Предсказанные значения]]-Таблица245[[#This Row],[Z]])</f>
        <v>4.3940194747250656</v>
      </c>
      <c r="F52" s="4">
        <f>ABS(Таблица245[[#This Row],[Остатки]]/Таблица245[[#This Row],[Z]])</f>
        <v>0.43940194747250655</v>
      </c>
    </row>
    <row r="53" spans="1:6" x14ac:dyDescent="0.25">
      <c r="A53">
        <v>140</v>
      </c>
      <c r="B53" s="4">
        <f t="shared" si="1"/>
        <v>0.24659696394160643</v>
      </c>
      <c r="C53">
        <v>-2</v>
      </c>
      <c r="D53" s="4">
        <f>$H$2*Таблица245[[#This Row],[exp(-0.01Y)]]+$H$3</f>
        <v>-4.3372662579852737</v>
      </c>
      <c r="E53" s="4">
        <f>ABS(Таблица245[[#This Row],[Предсказанные значения]]-Таблица245[[#This Row],[Z]])</f>
        <v>2.3372662579852737</v>
      </c>
      <c r="F53" s="4">
        <f>ABS(Таблица245[[#This Row],[Остатки]]/Таблица245[[#This Row],[Z]])</f>
        <v>1.1686331289926368</v>
      </c>
    </row>
    <row r="54" spans="1:6" x14ac:dyDescent="0.25">
      <c r="A54">
        <v>303</v>
      </c>
      <c r="B54" s="4">
        <f t="shared" si="1"/>
        <v>4.8315638126067768E-2</v>
      </c>
      <c r="C54" s="13">
        <v>-6</v>
      </c>
      <c r="D54" s="4">
        <f>$H$2*Таблица245[[#This Row],[exp(-0.01Y)]]+$H$3</f>
        <v>-5.5347215168612633</v>
      </c>
      <c r="E54" s="4">
        <f>ABS(Таблица245[[#This Row],[Предсказанные значения]]-Таблица245[[#This Row],[Z]])</f>
        <v>0.46527848313873665</v>
      </c>
      <c r="F54" s="4">
        <f>ABS(Таблица245[[#This Row],[Остатки]]/Таблица245[[#This Row],[Z]])</f>
        <v>7.7546413856456109E-2</v>
      </c>
    </row>
    <row r="55" spans="1:6" x14ac:dyDescent="0.25">
      <c r="A55">
        <v>247</v>
      </c>
      <c r="B55" s="4">
        <f t="shared" si="1"/>
        <v>8.4584859001564691E-2</v>
      </c>
      <c r="C55">
        <v>-7</v>
      </c>
      <c r="D55" s="4">
        <f>$H$2*Таблица245[[#This Row],[exp(-0.01Y)]]+$H$3</f>
        <v>-5.315685412003349</v>
      </c>
      <c r="E55" s="4">
        <f>ABS(Таблица245[[#This Row],[Предсказанные значения]]-Таблица245[[#This Row],[Z]])</f>
        <v>1.684314587996651</v>
      </c>
      <c r="F55" s="4">
        <f>ABS(Таблица245[[#This Row],[Остатки]]/Таблица245[[#This Row],[Z]])</f>
        <v>0.24061636971380729</v>
      </c>
    </row>
    <row r="56" spans="1:6" x14ac:dyDescent="0.25">
      <c r="A56">
        <v>387</v>
      </c>
      <c r="B56" s="4">
        <f t="shared" si="1"/>
        <v>2.0858369425214716E-2</v>
      </c>
      <c r="C56" s="13">
        <v>-3</v>
      </c>
      <c r="D56" s="4">
        <f>$H$2*Таблица245[[#This Row],[exp(-0.01Y)]]+$H$3</f>
        <v>-5.7005407167530118</v>
      </c>
      <c r="E56" s="4">
        <f>ABS(Таблица245[[#This Row],[Предсказанные значения]]-Таблица245[[#This Row],[Z]])</f>
        <v>2.7005407167530118</v>
      </c>
      <c r="F56" s="4">
        <f>ABS(Таблица245[[#This Row],[Остатки]]/Таблица245[[#This Row],[Z]])</f>
        <v>0.90018023891767063</v>
      </c>
    </row>
    <row r="57" spans="1:6" x14ac:dyDescent="0.25">
      <c r="A57">
        <v>426</v>
      </c>
      <c r="B57" s="4">
        <f t="shared" si="1"/>
        <v>1.4122302410163962E-2</v>
      </c>
      <c r="C57">
        <v>-7</v>
      </c>
      <c r="D57" s="4">
        <f>$H$2*Таблица245[[#This Row],[exp(-0.01Y)]]+$H$3</f>
        <v>-5.7412209918022992</v>
      </c>
      <c r="E57" s="4">
        <f>ABS(Таблица245[[#This Row],[Предсказанные значения]]-Таблица245[[#This Row],[Z]])</f>
        <v>1.2587790081977008</v>
      </c>
      <c r="F57" s="4">
        <f>ABS(Таблица245[[#This Row],[Остатки]]/Таблица245[[#This Row],[Z]])</f>
        <v>0.17982557259967155</v>
      </c>
    </row>
    <row r="58" spans="1:6" x14ac:dyDescent="0.25">
      <c r="A58">
        <v>304</v>
      </c>
      <c r="B58" s="4">
        <f t="shared" si="1"/>
        <v>4.7834889494198368E-2</v>
      </c>
      <c r="C58" s="13">
        <v>-6</v>
      </c>
      <c r="D58" s="4">
        <f>$H$2*Таблица245[[#This Row],[exp(-0.01Y)]]+$H$3</f>
        <v>-5.5376248410904196</v>
      </c>
      <c r="E58" s="4">
        <f>ABS(Таблица245[[#This Row],[Предсказанные значения]]-Таблица245[[#This Row],[Z]])</f>
        <v>0.46237515890958036</v>
      </c>
      <c r="F58" s="4">
        <f>ABS(Таблица245[[#This Row],[Остатки]]/Таблица245[[#This Row],[Z]])</f>
        <v>7.7062526484930061E-2</v>
      </c>
    </row>
    <row r="59" spans="1:6" x14ac:dyDescent="0.25">
      <c r="A59">
        <v>257</v>
      </c>
      <c r="B59" s="4">
        <f t="shared" si="1"/>
        <v>7.6535545423911513E-2</v>
      </c>
      <c r="C59">
        <v>-9</v>
      </c>
      <c r="D59" s="4">
        <f>$H$2*Таблица245[[#This Row],[exp(-0.01Y)]]+$H$3</f>
        <v>-5.3642966104319374</v>
      </c>
      <c r="E59" s="4">
        <f>ABS(Таблица245[[#This Row],[Предсказанные значения]]-Таблица245[[#This Row],[Z]])</f>
        <v>3.6357033895680626</v>
      </c>
      <c r="F59" s="4">
        <f>ABS(Таблица245[[#This Row],[Остатки]]/Таблица245[[#This Row],[Z]])</f>
        <v>0.40396704328534028</v>
      </c>
    </row>
    <row r="60" spans="1:6" x14ac:dyDescent="0.25">
      <c r="A60">
        <v>377</v>
      </c>
      <c r="B60" s="4">
        <f t="shared" si="1"/>
        <v>2.3052063287225571E-2</v>
      </c>
      <c r="C60" s="13">
        <v>-5</v>
      </c>
      <c r="D60" s="4">
        <f>$H$2*Таблица245[[#This Row],[exp(-0.01Y)]]+$H$3</f>
        <v>-5.6872926196837366</v>
      </c>
      <c r="E60" s="4">
        <f>ABS(Таблица245[[#This Row],[Предсказанные значения]]-Таблица245[[#This Row],[Z]])</f>
        <v>0.68729261968373656</v>
      </c>
      <c r="F60" s="4">
        <f>ABS(Таблица245[[#This Row],[Остатки]]/Таблица245[[#This Row],[Z]])</f>
        <v>0.13745852393674732</v>
      </c>
    </row>
    <row r="61" spans="1:6" x14ac:dyDescent="0.25">
      <c r="A61">
        <v>535</v>
      </c>
      <c r="B61" s="4">
        <f t="shared" si="1"/>
        <v>4.7481509994114733E-3</v>
      </c>
      <c r="C61">
        <v>-1</v>
      </c>
      <c r="D61" s="4">
        <f>$H$2*Таблица245[[#This Row],[exp(-0.01Y)]]+$H$3</f>
        <v>-5.7978331152997393</v>
      </c>
      <c r="E61" s="4">
        <f>ABS(Таблица245[[#This Row],[Предсказанные значения]]-Таблица245[[#This Row],[Z]])</f>
        <v>4.7978331152997393</v>
      </c>
      <c r="F61" s="4">
        <f>ABS(Таблица245[[#This Row],[Остатки]]/Таблица245[[#This Row],[Z]])</f>
        <v>4.7978331152997393</v>
      </c>
    </row>
    <row r="62" spans="1:6" x14ac:dyDescent="0.25">
      <c r="A62">
        <v>208</v>
      </c>
      <c r="B62" s="4">
        <f t="shared" si="1"/>
        <v>0.12493021219858241</v>
      </c>
      <c r="C62" s="13">
        <v>-5</v>
      </c>
      <c r="D62" s="4">
        <f>$H$2*Таблица245[[#This Row],[exp(-0.01Y)]]+$H$3</f>
        <v>-5.0720328382762467</v>
      </c>
      <c r="E62" s="4">
        <f>ABS(Таблица245[[#This Row],[Предсказанные значения]]-Таблица245[[#This Row],[Z]])</f>
        <v>7.2032838276246736E-2</v>
      </c>
      <c r="F62" s="4">
        <f>ABS(Таблица245[[#This Row],[Остатки]]/Таблица245[[#This Row],[Z]])</f>
        <v>1.4406567655249346E-2</v>
      </c>
    </row>
    <row r="63" spans="1:6" x14ac:dyDescent="0.25">
      <c r="A63">
        <v>357</v>
      </c>
      <c r="B63" s="4">
        <f t="shared" si="1"/>
        <v>2.8155853680300096E-2</v>
      </c>
      <c r="C63">
        <v>-4</v>
      </c>
      <c r="D63" s="4">
        <f>$H$2*Таблица245[[#This Row],[exp(-0.01Y)]]+$H$3</f>
        <v>-5.6564699457821428</v>
      </c>
      <c r="E63" s="4">
        <f>ABS(Таблица245[[#This Row],[Предсказанные значения]]-Таблица245[[#This Row],[Z]])</f>
        <v>1.6564699457821428</v>
      </c>
      <c r="F63" s="4">
        <f>ABS(Таблица245[[#This Row],[Остатки]]/Таблица245[[#This Row],[Z]])</f>
        <v>0.4141174864455357</v>
      </c>
    </row>
    <row r="64" spans="1:6" x14ac:dyDescent="0.25">
      <c r="A64">
        <v>337</v>
      </c>
      <c r="B64" s="4">
        <f t="shared" si="1"/>
        <v>3.4389637343472709E-2</v>
      </c>
      <c r="C64" s="13">
        <v>-3</v>
      </c>
      <c r="D64" s="4">
        <f>$H$2*Таблица245[[#This Row],[exp(-0.01Y)]]+$H$3</f>
        <v>-5.6188230468648657</v>
      </c>
      <c r="E64" s="4">
        <f>ABS(Таблица245[[#This Row],[Предсказанные значения]]-Таблица245[[#This Row],[Z]])</f>
        <v>2.6188230468648657</v>
      </c>
      <c r="F64" s="4">
        <f>ABS(Таблица245[[#This Row],[Остатки]]/Таблица245[[#This Row],[Z]])</f>
        <v>0.87294101562162185</v>
      </c>
    </row>
    <row r="65" spans="1:6" x14ac:dyDescent="0.25">
      <c r="A65">
        <v>447</v>
      </c>
      <c r="B65" s="4">
        <f t="shared" si="1"/>
        <v>1.1447315850505711E-2</v>
      </c>
      <c r="C65">
        <v>-2</v>
      </c>
      <c r="D65" s="4">
        <f>$H$2*Таблица245[[#This Row],[exp(-0.01Y)]]+$H$3</f>
        <v>-5.7573756988081692</v>
      </c>
      <c r="E65" s="4">
        <f>ABS(Таблица245[[#This Row],[Предсказанные значения]]-Таблица245[[#This Row],[Z]])</f>
        <v>3.7573756988081692</v>
      </c>
      <c r="F65" s="4">
        <f>ABS(Таблица245[[#This Row],[Остатки]]/Таблица245[[#This Row],[Z]])</f>
        <v>1.8786878494040846</v>
      </c>
    </row>
    <row r="66" spans="1:6" x14ac:dyDescent="0.25">
      <c r="A66">
        <v>238</v>
      </c>
      <c r="B66" s="4">
        <f t="shared" ref="B66:B91" si="2">EXP(-0.01*A66)</f>
        <v>9.255057751034329E-2</v>
      </c>
      <c r="C66" s="13">
        <v>-7</v>
      </c>
      <c r="D66" s="4">
        <f>$H$2*Таблица245[[#This Row],[exp(-0.01Y)]]+$H$3</f>
        <v>-5.2675790586701234</v>
      </c>
      <c r="E66" s="4">
        <f>ABS(Таблица245[[#This Row],[Предсказанные значения]]-Таблица245[[#This Row],[Z]])</f>
        <v>1.7324209413298766</v>
      </c>
      <c r="F66" s="4">
        <f>ABS(Таблица245[[#This Row],[Остатки]]/Таблица245[[#This Row],[Z]])</f>
        <v>0.24748870590426808</v>
      </c>
    </row>
    <row r="67" spans="1:6" x14ac:dyDescent="0.25">
      <c r="A67">
        <v>182</v>
      </c>
      <c r="B67" s="4">
        <f t="shared" si="2"/>
        <v>0.16202575093388075</v>
      </c>
      <c r="C67">
        <v>-3</v>
      </c>
      <c r="D67" s="4">
        <f>$H$2*Таблица245[[#This Row],[exp(-0.01Y)]]+$H$3</f>
        <v>-4.8480064567866199</v>
      </c>
      <c r="E67" s="4">
        <f>ABS(Таблица245[[#This Row],[Предсказанные значения]]-Таблица245[[#This Row],[Z]])</f>
        <v>1.8480064567866199</v>
      </c>
      <c r="F67" s="4">
        <f>ABS(Таблица245[[#This Row],[Остатки]]/Таблица245[[#This Row],[Z]])</f>
        <v>0.61600215226220667</v>
      </c>
    </row>
    <row r="68" spans="1:6" x14ac:dyDescent="0.25">
      <c r="A68">
        <v>437</v>
      </c>
      <c r="B68" s="4">
        <f t="shared" si="2"/>
        <v>1.2651240568005305E-2</v>
      </c>
      <c r="C68" s="13">
        <v>-9</v>
      </c>
      <c r="D68" s="4">
        <f>$H$2*Таблица245[[#This Row],[exp(-0.01Y)]]+$H$3</f>
        <v>-5.7501049889804472</v>
      </c>
      <c r="E68" s="4">
        <f>ABS(Таблица245[[#This Row],[Предсказанные значения]]-Таблица245[[#This Row],[Z]])</f>
        <v>3.2498950110195528</v>
      </c>
      <c r="F68" s="4">
        <f>ABS(Таблица245[[#This Row],[Остатки]]/Таблица245[[#This Row],[Z]])</f>
        <v>0.36109944566883923</v>
      </c>
    </row>
    <row r="69" spans="1:6" x14ac:dyDescent="0.25">
      <c r="A69">
        <v>292</v>
      </c>
      <c r="B69" s="4">
        <f t="shared" si="2"/>
        <v>5.3933687300356019E-2</v>
      </c>
      <c r="C69">
        <v>-10</v>
      </c>
      <c r="D69" s="4">
        <f>$H$2*Таблица245[[#This Row],[exp(-0.01Y)]]+$H$3</f>
        <v>-5.500793145136365</v>
      </c>
      <c r="E69" s="4">
        <f>ABS(Таблица245[[#This Row],[Предсказанные значения]]-Таблица245[[#This Row],[Z]])</f>
        <v>4.499206854863635</v>
      </c>
      <c r="F69" s="4">
        <f>ABS(Таблица245[[#This Row],[Остатки]]/Таблица245[[#This Row],[Z]])</f>
        <v>0.44992068548636349</v>
      </c>
    </row>
    <row r="70" spans="1:6" x14ac:dyDescent="0.25">
      <c r="A70">
        <v>473</v>
      </c>
      <c r="B70" s="4">
        <f t="shared" si="2"/>
        <v>8.8264710397267226E-3</v>
      </c>
      <c r="C70" s="13">
        <v>-8</v>
      </c>
      <c r="D70" s="4">
        <f>$H$2*Таблица245[[#This Row],[exp(-0.01Y)]]+$H$3</f>
        <v>-5.7732034344179501</v>
      </c>
      <c r="E70" s="4">
        <f>ABS(Таблица245[[#This Row],[Предсказанные значения]]-Таблица245[[#This Row],[Z]])</f>
        <v>2.2267965655820499</v>
      </c>
      <c r="F70" s="4">
        <f>ABS(Таблица245[[#This Row],[Остатки]]/Таблица245[[#This Row],[Z]])</f>
        <v>0.27834957069775623</v>
      </c>
    </row>
    <row r="71" spans="1:6" x14ac:dyDescent="0.25">
      <c r="A71">
        <v>392</v>
      </c>
      <c r="B71" s="4">
        <f t="shared" si="2"/>
        <v>1.9841094744370288E-2</v>
      </c>
      <c r="C71">
        <v>-1</v>
      </c>
      <c r="D71" s="4">
        <f>$H$2*Таблица245[[#This Row],[exp(-0.01Y)]]+$H$3</f>
        <v>-5.7066842146910464</v>
      </c>
      <c r="E71" s="4">
        <f>ABS(Таблица245[[#This Row],[Предсказанные значения]]-Таблица245[[#This Row],[Z]])</f>
        <v>4.7066842146910464</v>
      </c>
      <c r="F71" s="4">
        <f>ABS(Таблица245[[#This Row],[Остатки]]/Таблица245[[#This Row],[Z]])</f>
        <v>4.7066842146910464</v>
      </c>
    </row>
    <row r="72" spans="1:6" x14ac:dyDescent="0.25">
      <c r="A72">
        <v>442</v>
      </c>
      <c r="B72" s="4">
        <f t="shared" si="2"/>
        <v>1.2034232284723775E-2</v>
      </c>
      <c r="C72" s="13">
        <v>-2</v>
      </c>
      <c r="D72" s="4">
        <f>$H$2*Таблица245[[#This Row],[exp(-0.01Y)]]+$H$3</f>
        <v>-5.753831208837747</v>
      </c>
      <c r="E72" s="4">
        <f>ABS(Таблица245[[#This Row],[Предсказанные значения]]-Таблица245[[#This Row],[Z]])</f>
        <v>3.753831208837747</v>
      </c>
      <c r="F72" s="4">
        <f>ABS(Таблица245[[#This Row],[Остатки]]/Таблица245[[#This Row],[Z]])</f>
        <v>1.8769156044188735</v>
      </c>
    </row>
    <row r="73" spans="1:6" x14ac:dyDescent="0.25">
      <c r="A73">
        <v>356</v>
      </c>
      <c r="B73" s="4">
        <f t="shared" si="2"/>
        <v>2.8438824714184505E-2</v>
      </c>
      <c r="C73">
        <v>-7</v>
      </c>
      <c r="D73" s="4">
        <f>$H$2*Таблица245[[#This Row],[exp(-0.01Y)]]+$H$3</f>
        <v>-5.6547610347122745</v>
      </c>
      <c r="E73" s="4">
        <f>ABS(Таблица245[[#This Row],[Предсказанные значения]]-Таблица245[[#This Row],[Z]])</f>
        <v>1.3452389652877255</v>
      </c>
      <c r="F73" s="4">
        <f>ABS(Таблица245[[#This Row],[Остатки]]/Таблица245[[#This Row],[Z]])</f>
        <v>0.19217699504110364</v>
      </c>
    </row>
    <row r="74" spans="1:6" x14ac:dyDescent="0.25">
      <c r="A74">
        <v>386</v>
      </c>
      <c r="B74" s="4">
        <f t="shared" si="2"/>
        <v>2.1067999523041434E-2</v>
      </c>
      <c r="C74" s="13">
        <v>-3</v>
      </c>
      <c r="D74" s="4">
        <f>$H$2*Таблица245[[#This Row],[exp(-0.01Y)]]+$H$3</f>
        <v>-5.699274724294928</v>
      </c>
      <c r="E74" s="4">
        <f>ABS(Таблица245[[#This Row],[Предсказанные значения]]-Таблица245[[#This Row],[Z]])</f>
        <v>2.699274724294928</v>
      </c>
      <c r="F74" s="4">
        <f>ABS(Таблица245[[#This Row],[Остатки]]/Таблица245[[#This Row],[Z]])</f>
        <v>0.89975824143164262</v>
      </c>
    </row>
    <row r="75" spans="1:6" x14ac:dyDescent="0.25">
      <c r="A75">
        <v>338</v>
      </c>
      <c r="B75" s="4">
        <f t="shared" si="2"/>
        <v>3.4047454734599344E-2</v>
      </c>
      <c r="C75">
        <v>-5</v>
      </c>
      <c r="D75" s="4">
        <f>$H$2*Таблица245[[#This Row],[exp(-0.01Y)]]+$H$3</f>
        <v>-5.6208895468885371</v>
      </c>
      <c r="E75" s="4">
        <f>ABS(Таблица245[[#This Row],[Предсказанные значения]]-Таблица245[[#This Row],[Z]])</f>
        <v>0.62088954688853715</v>
      </c>
      <c r="F75" s="4">
        <f>ABS(Таблица245[[#This Row],[Остатки]]/Таблица245[[#This Row],[Z]])</f>
        <v>0.12417790937770742</v>
      </c>
    </row>
    <row r="76" spans="1:6" x14ac:dyDescent="0.25">
      <c r="A76">
        <v>277</v>
      </c>
      <c r="B76" s="4">
        <f t="shared" si="2"/>
        <v>6.2662004742153152E-2</v>
      </c>
      <c r="C76" s="13">
        <v>-4</v>
      </c>
      <c r="D76" s="4">
        <f>$H$2*Таблица245[[#This Row],[exp(-0.01Y)]]+$H$3</f>
        <v>-5.4480813248031561</v>
      </c>
      <c r="E76" s="4">
        <f>ABS(Таблица245[[#This Row],[Предсказанные значения]]-Таблица245[[#This Row],[Z]])</f>
        <v>1.4480813248031561</v>
      </c>
      <c r="F76" s="4">
        <f>ABS(Таблица245[[#This Row],[Остатки]]/Таблица245[[#This Row],[Z]])</f>
        <v>0.36202033120078903</v>
      </c>
    </row>
    <row r="77" spans="1:6" x14ac:dyDescent="0.25">
      <c r="A77">
        <v>247</v>
      </c>
      <c r="B77" s="4">
        <f t="shared" si="2"/>
        <v>8.4584859001564691E-2</v>
      </c>
      <c r="C77">
        <v>-4</v>
      </c>
      <c r="D77" s="4">
        <f>$H$2*Таблица245[[#This Row],[exp(-0.01Y)]]+$H$3</f>
        <v>-5.315685412003349</v>
      </c>
      <c r="E77" s="4">
        <f>ABS(Таблица245[[#This Row],[Предсказанные значения]]-Таблица245[[#This Row],[Z]])</f>
        <v>1.315685412003349</v>
      </c>
      <c r="F77" s="4">
        <f>ABS(Таблица245[[#This Row],[Остатки]]/Таблица245[[#This Row],[Z]])</f>
        <v>0.32892135300083725</v>
      </c>
    </row>
    <row r="78" spans="1:6" x14ac:dyDescent="0.25">
      <c r="A78">
        <v>170</v>
      </c>
      <c r="B78" s="4">
        <f t="shared" si="2"/>
        <v>0.18268352405273466</v>
      </c>
      <c r="C78" s="13">
        <v>-5</v>
      </c>
      <c r="D78" s="4">
        <f>$H$2*Таблица245[[#This Row],[exp(-0.01Y)]]+$H$3</f>
        <v>-4.7232505880425739</v>
      </c>
      <c r="E78" s="4">
        <f>ABS(Таблица245[[#This Row],[Предсказанные значения]]-Таблица245[[#This Row],[Z]])</f>
        <v>0.27674941195742608</v>
      </c>
      <c r="F78" s="4">
        <f>ABS(Таблица245[[#This Row],[Остатки]]/Таблица245[[#This Row],[Z]])</f>
        <v>5.5349882391485215E-2</v>
      </c>
    </row>
    <row r="79" spans="1:6" x14ac:dyDescent="0.25">
      <c r="A79">
        <v>380</v>
      </c>
      <c r="B79" s="4">
        <f t="shared" si="2"/>
        <v>2.2370771856165591E-2</v>
      </c>
      <c r="C79">
        <v>-7</v>
      </c>
      <c r="D79" s="4">
        <f>$H$2*Таблица245[[#This Row],[exp(-0.01Y)]]+$H$3</f>
        <v>-5.6914070566010526</v>
      </c>
      <c r="E79" s="4">
        <f>ABS(Таблица245[[#This Row],[Предсказанные значения]]-Таблица245[[#This Row],[Z]])</f>
        <v>1.3085929433989474</v>
      </c>
      <c r="F79" s="4">
        <f>ABS(Таблица245[[#This Row],[Остатки]]/Таблица245[[#This Row],[Z]])</f>
        <v>0.18694184905699249</v>
      </c>
    </row>
    <row r="80" spans="1:6" x14ac:dyDescent="0.25">
      <c r="A80">
        <v>221</v>
      </c>
      <c r="B80" s="4">
        <f t="shared" si="2"/>
        <v>0.10970064851551141</v>
      </c>
      <c r="C80" s="13">
        <v>-8</v>
      </c>
      <c r="D80" s="4">
        <f>$H$2*Таблица245[[#This Row],[exp(-0.01Y)]]+$H$3</f>
        <v>-5.1640068103468479</v>
      </c>
      <c r="E80" s="4">
        <f>ABS(Таблица245[[#This Row],[Предсказанные значения]]-Таблица245[[#This Row],[Z]])</f>
        <v>2.8359931896531521</v>
      </c>
      <c r="F80" s="4">
        <f>ABS(Таблица245[[#This Row],[Остатки]]/Таблица245[[#This Row],[Z]])</f>
        <v>0.35449914870664401</v>
      </c>
    </row>
    <row r="81" spans="1:6" x14ac:dyDescent="0.25">
      <c r="A81">
        <v>287</v>
      </c>
      <c r="B81" s="4">
        <f t="shared" si="2"/>
        <v>5.6698926579846903E-2</v>
      </c>
      <c r="C81">
        <v>-10</v>
      </c>
      <c r="D81" s="4">
        <f>$H$2*Таблица245[[#This Row],[exp(-0.01Y)]]+$H$3</f>
        <v>-5.4840933863282295</v>
      </c>
      <c r="E81" s="4">
        <f>ABS(Таблица245[[#This Row],[Предсказанные значения]]-Таблица245[[#This Row],[Z]])</f>
        <v>4.5159066136717705</v>
      </c>
      <c r="F81" s="4">
        <f>ABS(Таблица245[[#This Row],[Остатки]]/Таблица245[[#This Row],[Z]])</f>
        <v>0.45159066136717707</v>
      </c>
    </row>
    <row r="82" spans="1:6" x14ac:dyDescent="0.25">
      <c r="A82">
        <v>244</v>
      </c>
      <c r="B82" s="4">
        <f t="shared" si="2"/>
        <v>8.7160851461981298E-2</v>
      </c>
      <c r="C82" s="13">
        <v>-5</v>
      </c>
      <c r="D82" s="4">
        <f>$H$2*Таблица245[[#This Row],[exp(-0.01Y)]]+$H$3</f>
        <v>-5.3001285475035607</v>
      </c>
      <c r="E82" s="4">
        <f>ABS(Таблица245[[#This Row],[Предсказанные значения]]-Таблица245[[#This Row],[Z]])</f>
        <v>0.30012854750356066</v>
      </c>
      <c r="F82" s="4">
        <f>ABS(Таблица245[[#This Row],[Остатки]]/Таблица245[[#This Row],[Z]])</f>
        <v>6.0025709500712135E-2</v>
      </c>
    </row>
    <row r="83" spans="1:6" x14ac:dyDescent="0.25">
      <c r="A83">
        <v>313</v>
      </c>
      <c r="B83" s="4">
        <f t="shared" si="2"/>
        <v>4.3717797252750941E-2</v>
      </c>
      <c r="C83">
        <v>-6</v>
      </c>
      <c r="D83" s="4">
        <f>$H$2*Таблица245[[#This Row],[exp(-0.01Y)]]+$H$3</f>
        <v>-5.5624886740082262</v>
      </c>
      <c r="E83" s="4">
        <f>ABS(Таблица245[[#This Row],[Предсказанные значения]]-Таблица245[[#This Row],[Z]])</f>
        <v>0.43751132599177378</v>
      </c>
      <c r="F83" s="4">
        <f>ABS(Таблица245[[#This Row],[Остатки]]/Таблица245[[#This Row],[Z]])</f>
        <v>7.2918554331962301E-2</v>
      </c>
    </row>
    <row r="84" spans="1:6" x14ac:dyDescent="0.25">
      <c r="A84">
        <v>219</v>
      </c>
      <c r="B84" s="4">
        <f t="shared" si="2"/>
        <v>0.11191674861732888</v>
      </c>
      <c r="C84" s="13">
        <v>-5</v>
      </c>
      <c r="D84" s="4">
        <f>$H$2*Таблица245[[#This Row],[exp(-0.01Y)]]+$H$3</f>
        <v>-5.1506233981157559</v>
      </c>
      <c r="E84" s="4">
        <f>ABS(Таблица245[[#This Row],[Предсказанные значения]]-Таблица245[[#This Row],[Z]])</f>
        <v>0.15062339811575587</v>
      </c>
      <c r="F84" s="4">
        <f>ABS(Таблица245[[#This Row],[Остатки]]/Таблица245[[#This Row],[Z]])</f>
        <v>3.0124679623151174E-2</v>
      </c>
    </row>
    <row r="85" spans="1:6" x14ac:dyDescent="0.25">
      <c r="A85">
        <v>392</v>
      </c>
      <c r="B85" s="4">
        <f t="shared" si="2"/>
        <v>1.9841094744370288E-2</v>
      </c>
      <c r="C85">
        <v>-5</v>
      </c>
      <c r="D85" s="4">
        <f>$H$2*Таблица245[[#This Row],[exp(-0.01Y)]]+$H$3</f>
        <v>-5.7066842146910464</v>
      </c>
      <c r="E85" s="4">
        <f>ABS(Таблица245[[#This Row],[Предсказанные значения]]-Таблица245[[#This Row],[Z]])</f>
        <v>0.70668421469104636</v>
      </c>
      <c r="F85" s="4">
        <f>ABS(Таблица245[[#This Row],[Остатки]]/Таблица245[[#This Row],[Z]])</f>
        <v>0.14133684293820928</v>
      </c>
    </row>
    <row r="86" spans="1:6" x14ac:dyDescent="0.25">
      <c r="A86">
        <v>415</v>
      </c>
      <c r="B86" s="4">
        <f t="shared" si="2"/>
        <v>1.5764416484854486E-2</v>
      </c>
      <c r="C86" s="13">
        <v>-4</v>
      </c>
      <c r="D86" s="4">
        <f>$H$2*Таблица245[[#This Row],[exp(-0.01Y)]]+$H$3</f>
        <v>-5.7313039805743147</v>
      </c>
      <c r="E86" s="4">
        <f>ABS(Таблица245[[#This Row],[Предсказанные значения]]-Таблица245[[#This Row],[Z]])</f>
        <v>1.7313039805743147</v>
      </c>
      <c r="F86" s="4">
        <f>ABS(Таблица245[[#This Row],[Остатки]]/Таблица245[[#This Row],[Z]])</f>
        <v>0.43282599514357867</v>
      </c>
    </row>
    <row r="87" spans="1:6" x14ac:dyDescent="0.25">
      <c r="A87">
        <v>341</v>
      </c>
      <c r="B87" s="4">
        <f t="shared" si="2"/>
        <v>3.3041200375886932E-2</v>
      </c>
      <c r="C87">
        <v>-8</v>
      </c>
      <c r="D87" s="4">
        <f>$H$2*Таблица245[[#This Row],[exp(-0.01Y)]]+$H$3</f>
        <v>-5.6269664911930555</v>
      </c>
      <c r="E87" s="4">
        <f>ABS(Таблица245[[#This Row],[Предсказанные значения]]-Таблица245[[#This Row],[Z]])</f>
        <v>2.3730335088069445</v>
      </c>
      <c r="F87" s="4">
        <f>ABS(Таблица245[[#This Row],[Остатки]]/Таблица245[[#This Row],[Z]])</f>
        <v>0.29662918860086807</v>
      </c>
    </row>
    <row r="88" spans="1:6" x14ac:dyDescent="0.25">
      <c r="A88">
        <v>321</v>
      </c>
      <c r="B88" s="4">
        <f t="shared" si="2"/>
        <v>4.0356613272031147E-2</v>
      </c>
      <c r="C88" s="13">
        <v>-6</v>
      </c>
      <c r="D88" s="4">
        <f>$H$2*Таблица245[[#This Row],[exp(-0.01Y)]]+$H$3</f>
        <v>-5.5827874460545006</v>
      </c>
      <c r="E88" s="4">
        <f>ABS(Таблица245[[#This Row],[Предсказанные значения]]-Таблица245[[#This Row],[Z]])</f>
        <v>0.41721255394549939</v>
      </c>
      <c r="F88" s="4">
        <f>ABS(Таблица245[[#This Row],[Остатки]]/Таблица245[[#This Row],[Z]])</f>
        <v>6.9535425657583236E-2</v>
      </c>
    </row>
    <row r="89" spans="1:6" x14ac:dyDescent="0.25">
      <c r="A89">
        <v>255</v>
      </c>
      <c r="B89" s="4">
        <f t="shared" si="2"/>
        <v>7.8081666001153127E-2</v>
      </c>
      <c r="C89">
        <v>-7</v>
      </c>
      <c r="D89" s="4">
        <f>$H$2*Таблица245[[#This Row],[exp(-0.01Y)]]+$H$3</f>
        <v>-5.3549593205562545</v>
      </c>
      <c r="E89" s="4">
        <f>ABS(Таблица245[[#This Row],[Предсказанные значения]]-Таблица245[[#This Row],[Z]])</f>
        <v>1.6450406794437455</v>
      </c>
      <c r="F89" s="4">
        <f>ABS(Таблица245[[#This Row],[Остатки]]/Таблица245[[#This Row],[Z]])</f>
        <v>0.2350058113491065</v>
      </c>
    </row>
    <row r="90" spans="1:6" x14ac:dyDescent="0.25">
      <c r="A90">
        <v>206</v>
      </c>
      <c r="B90" s="4">
        <f t="shared" si="2"/>
        <v>0.12745396989482075</v>
      </c>
      <c r="C90" s="13">
        <v>-1</v>
      </c>
      <c r="D90" s="4">
        <f>$H$2*Таблица245[[#This Row],[exp(-0.01Y)]]+$H$3</f>
        <v>-5.0567914285617448</v>
      </c>
      <c r="E90" s="4">
        <f>ABS(Таблица245[[#This Row],[Предсказанные значения]]-Таблица245[[#This Row],[Z]])</f>
        <v>4.0567914285617448</v>
      </c>
      <c r="F90" s="4">
        <f>ABS(Таблица245[[#This Row],[Остатки]]/Таблица245[[#This Row],[Z]])</f>
        <v>4.0567914285617448</v>
      </c>
    </row>
    <row r="91" spans="1:6" x14ac:dyDescent="0.25">
      <c r="A91">
        <v>324</v>
      </c>
      <c r="B91" s="4">
        <f t="shared" si="2"/>
        <v>3.9163895098987066E-2</v>
      </c>
      <c r="C91" s="14">
        <v>-10</v>
      </c>
      <c r="D91" s="4">
        <f>$H$2*Таблица245[[#This Row],[exp(-0.01Y)]]+$H$3</f>
        <v>-5.5899904776198497</v>
      </c>
      <c r="E91" s="4">
        <f>ABS(Таблица245[[#This Row],[Предсказанные значения]]-Таблица245[[#This Row],[Z]])</f>
        <v>4.4100095223801503</v>
      </c>
      <c r="F91" s="4">
        <f>ABS(Таблица245[[#This Row],[Остатки]]/Таблица245[[#This Row],[Z]])</f>
        <v>0.44100095223801505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2062-3B6C-41FB-9223-127CAA8A6E65}">
  <dimension ref="A1:I114"/>
  <sheetViews>
    <sheetView topLeftCell="A7" workbookViewId="0">
      <selection activeCell="B25" sqref="B25:D114"/>
    </sheetView>
  </sheetViews>
  <sheetFormatPr defaultRowHeight="15" x14ac:dyDescent="0.25"/>
  <cols>
    <col min="1" max="1" width="26.28515625" bestFit="1" customWidth="1"/>
    <col min="2" max="2" width="17.140625" bestFit="1" customWidth="1"/>
    <col min="3" max="3" width="23.28515625" bestFit="1" customWidth="1"/>
    <col min="4" max="4" width="25" bestFit="1" customWidth="1"/>
    <col min="5" max="5" width="12" bestFit="1" customWidth="1"/>
    <col min="6" max="6" width="14.7109375" bestFit="1" customWidth="1"/>
    <col min="7" max="7" width="13.140625" bestFit="1" customWidth="1"/>
    <col min="8" max="8" width="14.7109375" bestFit="1" customWidth="1"/>
    <col min="9" max="9" width="14.8554687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 s="4">
        <v>9.0620319486833759E-2</v>
      </c>
    </row>
    <row r="5" spans="1:9" x14ac:dyDescent="0.25">
      <c r="A5" t="s">
        <v>10</v>
      </c>
      <c r="B5" s="4">
        <v>8.2120423038958227E-3</v>
      </c>
    </row>
    <row r="6" spans="1:9" x14ac:dyDescent="0.25">
      <c r="A6" t="s">
        <v>11</v>
      </c>
      <c r="B6" s="4">
        <v>-3.0582753971962699E-3</v>
      </c>
    </row>
    <row r="7" spans="1:9" x14ac:dyDescent="0.25">
      <c r="A7" t="s">
        <v>12</v>
      </c>
      <c r="B7" s="4">
        <v>3.0923679185414543</v>
      </c>
    </row>
    <row r="8" spans="1:9" ht="15.75" thickBot="1" x14ac:dyDescent="0.3">
      <c r="A8" s="1" t="s">
        <v>13</v>
      </c>
      <c r="B8" s="1">
        <v>90</v>
      </c>
    </row>
    <row r="10" spans="1:9" ht="15.75" thickBot="1" x14ac:dyDescent="0.3">
      <c r="A10" t="s">
        <v>14</v>
      </c>
    </row>
    <row r="11" spans="1:9" x14ac:dyDescent="0.25">
      <c r="A11" s="2"/>
      <c r="B11" s="2" t="s">
        <v>3</v>
      </c>
      <c r="C11" s="2" t="s">
        <v>4</v>
      </c>
      <c r="D11" s="2" t="s">
        <v>5</v>
      </c>
      <c r="E11" s="2" t="s">
        <v>6</v>
      </c>
      <c r="F11" s="2" t="s">
        <v>19</v>
      </c>
    </row>
    <row r="12" spans="1:9" x14ac:dyDescent="0.25">
      <c r="A12" t="s">
        <v>15</v>
      </c>
      <c r="B12">
        <v>1</v>
      </c>
      <c r="C12" s="4">
        <v>6.9678266499411166</v>
      </c>
      <c r="D12" s="4">
        <v>6.9678266499411166</v>
      </c>
      <c r="E12" s="4">
        <v>0.72864337294591752</v>
      </c>
      <c r="F12" s="4">
        <v>0.39564087460524844</v>
      </c>
    </row>
    <row r="13" spans="1:9" x14ac:dyDescent="0.25">
      <c r="A13" t="s">
        <v>16</v>
      </c>
      <c r="B13">
        <v>88</v>
      </c>
      <c r="C13" s="4">
        <v>841.52106223894771</v>
      </c>
      <c r="D13" s="4">
        <v>9.5627393436244059</v>
      </c>
      <c r="E13" s="4"/>
      <c r="F13" s="4"/>
    </row>
    <row r="14" spans="1:9" ht="15.75" thickBot="1" x14ac:dyDescent="0.3">
      <c r="A14" s="1" t="s">
        <v>17</v>
      </c>
      <c r="B14" s="1">
        <v>89</v>
      </c>
      <c r="C14" s="5">
        <v>848.48888888888882</v>
      </c>
      <c r="D14" s="5"/>
      <c r="E14" s="5"/>
      <c r="F14" s="5"/>
    </row>
    <row r="15" spans="1:9" ht="15.75" thickBot="1" x14ac:dyDescent="0.3"/>
    <row r="16" spans="1:9" x14ac:dyDescent="0.25">
      <c r="A16" s="2"/>
      <c r="B16" s="2" t="s">
        <v>20</v>
      </c>
      <c r="C16" s="2" t="s">
        <v>12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18</v>
      </c>
      <c r="B17" s="4">
        <v>-5.8265080213242832</v>
      </c>
      <c r="C17" s="4">
        <v>0.49272079476373076</v>
      </c>
      <c r="D17" s="4">
        <v>-11.825171746847436</v>
      </c>
      <c r="E17" s="4">
        <v>7.1358411982695325E-20</v>
      </c>
      <c r="F17" s="4">
        <v>-6.8056870629498052</v>
      </c>
      <c r="G17" s="4">
        <v>-4.8473289796987613</v>
      </c>
      <c r="H17" s="4">
        <v>-6.8056870629498052</v>
      </c>
      <c r="I17" s="4">
        <v>-4.8473289796987613</v>
      </c>
    </row>
    <row r="18" spans="1:9" ht="15.75" thickBot="1" x14ac:dyDescent="0.3">
      <c r="A18" s="1" t="s">
        <v>80</v>
      </c>
      <c r="B18" s="5">
        <v>6.0391731493160572</v>
      </c>
      <c r="C18" s="5">
        <v>7.0748945602742106</v>
      </c>
      <c r="D18" s="5">
        <v>0.8536060994076482</v>
      </c>
      <c r="E18" s="5">
        <v>0.39564087460524122</v>
      </c>
      <c r="F18" s="5">
        <v>-8.0206931050660728</v>
      </c>
      <c r="G18" s="5">
        <v>20.099039403698189</v>
      </c>
      <c r="H18" s="5">
        <v>-8.0206931050660728</v>
      </c>
      <c r="I18" s="5">
        <v>20.099039403698189</v>
      </c>
    </row>
    <row r="22" spans="1:9" x14ac:dyDescent="0.25">
      <c r="A22" t="s">
        <v>27</v>
      </c>
    </row>
    <row r="23" spans="1:9" ht="15.75" thickBot="1" x14ac:dyDescent="0.3"/>
    <row r="24" spans="1:9" x14ac:dyDescent="0.25">
      <c r="A24" s="2" t="s">
        <v>28</v>
      </c>
      <c r="B24" s="2" t="s">
        <v>31</v>
      </c>
      <c r="C24" s="2" t="s">
        <v>29</v>
      </c>
      <c r="D24" s="2" t="s">
        <v>30</v>
      </c>
    </row>
    <row r="25" spans="1:9" x14ac:dyDescent="0.25">
      <c r="A25">
        <v>1</v>
      </c>
      <c r="B25" s="4">
        <v>-5.2389221579585312</v>
      </c>
      <c r="C25" s="4">
        <v>-1.7610778420414688</v>
      </c>
      <c r="D25" s="4">
        <v>-0.57271830088913145</v>
      </c>
    </row>
    <row r="26" spans="1:9" x14ac:dyDescent="0.25">
      <c r="A26">
        <v>2</v>
      </c>
      <c r="B26" s="4">
        <v>-5.7461877217457262</v>
      </c>
      <c r="C26" s="4">
        <v>-0.25381227825427377</v>
      </c>
      <c r="D26" s="4">
        <v>-8.2542028112783564E-2</v>
      </c>
    </row>
    <row r="27" spans="1:9" x14ac:dyDescent="0.25">
      <c r="A27">
        <v>3</v>
      </c>
      <c r="B27" s="4">
        <v>-5.6979960084011134</v>
      </c>
      <c r="C27" s="4">
        <v>-4.3020039915988866</v>
      </c>
      <c r="D27" s="4">
        <v>-1.3990502621000889</v>
      </c>
    </row>
    <row r="28" spans="1:9" x14ac:dyDescent="0.25">
      <c r="A28">
        <v>4</v>
      </c>
      <c r="B28" s="4">
        <v>-5.63858688526956</v>
      </c>
      <c r="C28" s="4">
        <v>4.63858688526956</v>
      </c>
      <c r="D28" s="4">
        <v>1.5085100363187891</v>
      </c>
    </row>
    <row r="29" spans="1:9" x14ac:dyDescent="0.25">
      <c r="A29">
        <v>5</v>
      </c>
      <c r="B29" s="4">
        <v>-5.4365565161250364</v>
      </c>
      <c r="C29" s="4">
        <v>3.4365565161250364</v>
      </c>
      <c r="D29" s="4">
        <v>1.1175989850301338</v>
      </c>
    </row>
    <row r="30" spans="1:9" x14ac:dyDescent="0.25">
      <c r="A30">
        <v>6</v>
      </c>
      <c r="B30" s="4">
        <v>-5.4442780732740097</v>
      </c>
      <c r="C30" s="4">
        <v>-0.5557219267259903</v>
      </c>
      <c r="D30" s="4">
        <v>-0.18072575217481449</v>
      </c>
    </row>
    <row r="31" spans="1:9" x14ac:dyDescent="0.25">
      <c r="A31">
        <v>7</v>
      </c>
      <c r="B31" s="4">
        <v>-5.5072427318086117</v>
      </c>
      <c r="C31" s="4">
        <v>-0.49275726819138832</v>
      </c>
      <c r="D31" s="4">
        <v>-0.16024908079145353</v>
      </c>
    </row>
    <row r="32" spans="1:9" x14ac:dyDescent="0.25">
      <c r="A32">
        <v>8</v>
      </c>
      <c r="B32" s="4">
        <v>-5.64045673181535</v>
      </c>
      <c r="C32" s="4">
        <v>0.64045673181535001</v>
      </c>
      <c r="D32" s="4">
        <v>0.20828227036977062</v>
      </c>
    </row>
    <row r="33" spans="1:4" x14ac:dyDescent="0.25">
      <c r="A33">
        <v>9</v>
      </c>
      <c r="B33" s="4">
        <v>-5.5677166073577693</v>
      </c>
      <c r="C33" s="4">
        <v>-4.4322833926422307</v>
      </c>
      <c r="D33" s="4">
        <v>-1.4414182911702318</v>
      </c>
    </row>
    <row r="34" spans="1:4" x14ac:dyDescent="0.25">
      <c r="A34">
        <v>10</v>
      </c>
      <c r="B34" s="4">
        <v>-5.546162629349042</v>
      </c>
      <c r="C34" s="4">
        <v>1.546162629349042</v>
      </c>
      <c r="D34" s="4">
        <v>0.5028259471782075</v>
      </c>
    </row>
    <row r="35" spans="1:4" x14ac:dyDescent="0.25">
      <c r="A35">
        <v>11</v>
      </c>
      <c r="B35" s="4">
        <v>-5.6872926196837366</v>
      </c>
      <c r="C35" s="4">
        <v>-3.3127073803162634</v>
      </c>
      <c r="D35" s="4">
        <v>-1.0773221358564689</v>
      </c>
    </row>
    <row r="36" spans="1:4" x14ac:dyDescent="0.25">
      <c r="A36">
        <v>12</v>
      </c>
      <c r="B36" s="4">
        <v>-5.6208895468885371</v>
      </c>
      <c r="C36" s="4">
        <v>0.62088954688853715</v>
      </c>
      <c r="D36" s="4">
        <v>0.20191884642737579</v>
      </c>
    </row>
    <row r="37" spans="1:4" x14ac:dyDescent="0.25">
      <c r="A37">
        <v>13</v>
      </c>
      <c r="B37" s="4">
        <v>-5.6495305602770847</v>
      </c>
      <c r="C37" s="4">
        <v>-1.3504694397229153</v>
      </c>
      <c r="D37" s="4">
        <v>-0.43918476767853909</v>
      </c>
    </row>
    <row r="38" spans="1:4" x14ac:dyDescent="0.25">
      <c r="A38">
        <v>14</v>
      </c>
      <c r="B38" s="4">
        <v>-5.6081748105235052</v>
      </c>
      <c r="C38" s="4">
        <v>2.6081748105235052</v>
      </c>
      <c r="D38" s="4">
        <v>0.84820182858769988</v>
      </c>
    </row>
    <row r="39" spans="1:4" x14ac:dyDescent="0.25">
      <c r="A39">
        <v>15</v>
      </c>
      <c r="B39" s="4">
        <v>-5.546162629349042</v>
      </c>
      <c r="C39" s="4">
        <v>-4.453837370650958</v>
      </c>
      <c r="D39" s="4">
        <v>-1.4484278380328794</v>
      </c>
    </row>
    <row r="40" spans="1:4" x14ac:dyDescent="0.25">
      <c r="A40">
        <v>16</v>
      </c>
      <c r="B40" s="4">
        <v>-5.3955449583182515</v>
      </c>
      <c r="C40" s="4">
        <v>4.3955449583182515</v>
      </c>
      <c r="D40" s="4">
        <v>1.4294706229973331</v>
      </c>
    </row>
    <row r="41" spans="1:4" x14ac:dyDescent="0.25">
      <c r="A41">
        <v>17</v>
      </c>
      <c r="B41" s="4">
        <v>-5.4771761518565363</v>
      </c>
      <c r="C41" s="4">
        <v>2.4771761518565363</v>
      </c>
      <c r="D41" s="4">
        <v>0.80559989049078351</v>
      </c>
    </row>
    <row r="42" spans="1:4" x14ac:dyDescent="0.25">
      <c r="A42">
        <v>18</v>
      </c>
      <c r="B42" s="4">
        <v>-5.6872926196837366</v>
      </c>
      <c r="C42" s="4">
        <v>0.68729261968373656</v>
      </c>
      <c r="D42" s="4">
        <v>0.22351372095092251</v>
      </c>
    </row>
    <row r="43" spans="1:4" x14ac:dyDescent="0.25">
      <c r="A43">
        <v>19</v>
      </c>
      <c r="B43" s="4">
        <v>-4.2919120941386701</v>
      </c>
      <c r="C43" s="4">
        <v>-0.70808790586132986</v>
      </c>
      <c r="D43" s="4">
        <v>-0.23027653442901863</v>
      </c>
    </row>
    <row r="44" spans="1:4" x14ac:dyDescent="0.25">
      <c r="A44">
        <v>20</v>
      </c>
      <c r="B44" s="4">
        <v>-5.3053661107791026</v>
      </c>
      <c r="C44" s="4">
        <v>4.3053661107791026</v>
      </c>
      <c r="D44" s="4">
        <v>1.4001436533962099</v>
      </c>
    </row>
    <row r="45" spans="1:4" x14ac:dyDescent="0.25">
      <c r="A45">
        <v>21</v>
      </c>
      <c r="B45" s="4">
        <v>-5.7368482322920533</v>
      </c>
      <c r="C45" s="4">
        <v>6.7368482322920533</v>
      </c>
      <c r="D45" s="4">
        <v>2.1908834356087481</v>
      </c>
    </row>
    <row r="46" spans="1:4" x14ac:dyDescent="0.25">
      <c r="A46">
        <v>22</v>
      </c>
      <c r="B46" s="4">
        <v>-5.5624886740082262</v>
      </c>
      <c r="C46" s="4">
        <v>-4.4375113259917738</v>
      </c>
      <c r="D46" s="4">
        <v>-1.443118461959753</v>
      </c>
    </row>
    <row r="47" spans="1:4" x14ac:dyDescent="0.25">
      <c r="A47">
        <v>23</v>
      </c>
      <c r="B47" s="4">
        <v>-5.6598369252662435</v>
      </c>
      <c r="C47" s="4">
        <v>2.6598369252662435</v>
      </c>
      <c r="D47" s="4">
        <v>0.8650028114116628</v>
      </c>
    </row>
    <row r="48" spans="1:4" x14ac:dyDescent="0.25">
      <c r="A48">
        <v>24</v>
      </c>
      <c r="B48" s="4">
        <v>-5.7545543552045686</v>
      </c>
      <c r="C48" s="4">
        <v>-3.2454456447954314</v>
      </c>
      <c r="D48" s="4">
        <v>-1.0554480165173203</v>
      </c>
    </row>
    <row r="49" spans="1:4" x14ac:dyDescent="0.25">
      <c r="A49">
        <v>25</v>
      </c>
      <c r="B49" s="4">
        <v>-5.0173272149519921</v>
      </c>
      <c r="C49" s="4">
        <v>-0.98267278504800792</v>
      </c>
      <c r="D49" s="4">
        <v>-0.31957399857480773</v>
      </c>
    </row>
    <row r="50" spans="1:4" x14ac:dyDescent="0.25">
      <c r="A50">
        <v>26</v>
      </c>
      <c r="B50" s="4">
        <v>-5.7523630398366459</v>
      </c>
      <c r="C50" s="4">
        <v>3.7523630398366459</v>
      </c>
      <c r="D50" s="4">
        <v>1.2203020974945726</v>
      </c>
    </row>
    <row r="51" spans="1:4" x14ac:dyDescent="0.25">
      <c r="A51">
        <v>27</v>
      </c>
      <c r="B51" s="4">
        <v>-5.4365565161250364</v>
      </c>
      <c r="C51" s="4">
        <v>3.4365565161250364</v>
      </c>
      <c r="D51" s="4">
        <v>1.1175989850301338</v>
      </c>
    </row>
    <row r="52" spans="1:4" x14ac:dyDescent="0.25">
      <c r="A52">
        <v>28</v>
      </c>
      <c r="B52" s="4">
        <v>-5.3824201790832227</v>
      </c>
      <c r="C52" s="4">
        <v>-2.6175798209167773</v>
      </c>
      <c r="D52" s="4">
        <v>-0.85126042227600351</v>
      </c>
    </row>
    <row r="53" spans="1:4" x14ac:dyDescent="0.25">
      <c r="A53">
        <v>29</v>
      </c>
      <c r="B53" s="4">
        <v>-5.420642293300368</v>
      </c>
      <c r="C53" s="4">
        <v>-3.579357706699632</v>
      </c>
      <c r="D53" s="4">
        <v>-1.1640392123036889</v>
      </c>
    </row>
    <row r="54" spans="1:4" x14ac:dyDescent="0.25">
      <c r="A54">
        <v>30</v>
      </c>
      <c r="B54" s="4">
        <v>-5.6347906265019043</v>
      </c>
      <c r="C54" s="4">
        <v>3.6347906265019043</v>
      </c>
      <c r="D54" s="4">
        <v>1.1820664947352699</v>
      </c>
    </row>
    <row r="55" spans="1:4" x14ac:dyDescent="0.25">
      <c r="A55">
        <v>31</v>
      </c>
      <c r="B55" s="4">
        <v>-5.6124980977585563</v>
      </c>
      <c r="C55" s="4">
        <v>-2.3875019022414437</v>
      </c>
      <c r="D55" s="4">
        <v>-0.77643702065788123</v>
      </c>
    </row>
    <row r="56" spans="1:4" x14ac:dyDescent="0.25">
      <c r="A56">
        <v>32</v>
      </c>
      <c r="B56" s="4">
        <v>-5.7849943673003335</v>
      </c>
      <c r="C56" s="4">
        <v>-3.2150056326996665</v>
      </c>
      <c r="D56" s="4">
        <v>-1.045548651713365</v>
      </c>
    </row>
    <row r="57" spans="1:4" x14ac:dyDescent="0.25">
      <c r="A57">
        <v>33</v>
      </c>
      <c r="B57" s="4">
        <v>-5.6289519625918061</v>
      </c>
      <c r="C57" s="4">
        <v>-1.3710480374081939</v>
      </c>
      <c r="D57" s="4">
        <v>-0.44587711211649506</v>
      </c>
    </row>
    <row r="58" spans="1:4" x14ac:dyDescent="0.25">
      <c r="A58">
        <v>34</v>
      </c>
      <c r="B58" s="4">
        <v>-5.3307825016731885</v>
      </c>
      <c r="C58" s="4">
        <v>3.3307825016731885</v>
      </c>
      <c r="D58" s="4">
        <v>1.0832003273507771</v>
      </c>
    </row>
    <row r="59" spans="1:4" x14ac:dyDescent="0.25">
      <c r="A59">
        <v>35</v>
      </c>
      <c r="B59" s="4">
        <v>-5.7191657651210592</v>
      </c>
      <c r="C59" s="4">
        <v>0.71916576512105923</v>
      </c>
      <c r="D59" s="4">
        <v>0.23387915356444905</v>
      </c>
    </row>
    <row r="60" spans="1:4" x14ac:dyDescent="0.25">
      <c r="A60">
        <v>36</v>
      </c>
      <c r="B60" s="4">
        <v>-5.7477781702377806</v>
      </c>
      <c r="C60" s="4">
        <v>2.7477781702377806</v>
      </c>
      <c r="D60" s="4">
        <v>0.89360209259947732</v>
      </c>
    </row>
    <row r="61" spans="1:4" x14ac:dyDescent="0.25">
      <c r="A61">
        <v>37</v>
      </c>
      <c r="B61" s="4">
        <v>-5.5803380135511897</v>
      </c>
      <c r="C61" s="4">
        <v>-0.41966198644881025</v>
      </c>
      <c r="D61" s="4">
        <v>-0.13647783992790749</v>
      </c>
    </row>
    <row r="62" spans="1:4" x14ac:dyDescent="0.25">
      <c r="A62">
        <v>38</v>
      </c>
      <c r="B62" s="4">
        <v>-5.5753650495197764</v>
      </c>
      <c r="C62" s="4">
        <v>-4.4246349504802236</v>
      </c>
      <c r="D62" s="4">
        <v>-1.4389309492169677</v>
      </c>
    </row>
    <row r="63" spans="1:4" x14ac:dyDescent="0.25">
      <c r="A63">
        <v>39</v>
      </c>
      <c r="B63" s="4">
        <v>-5.3596513085242607</v>
      </c>
      <c r="C63" s="4">
        <v>1.3596513085242607</v>
      </c>
      <c r="D63" s="4">
        <v>0.44217079372086188</v>
      </c>
    </row>
    <row r="64" spans="1:4" x14ac:dyDescent="0.25">
      <c r="A64">
        <v>40</v>
      </c>
      <c r="B64" s="4">
        <v>-5.6581618529027589</v>
      </c>
      <c r="C64" s="4">
        <v>-1.3418381470972411</v>
      </c>
      <c r="D64" s="4">
        <v>-0.43637779394402054</v>
      </c>
    </row>
    <row r="65" spans="1:4" x14ac:dyDescent="0.25">
      <c r="A65">
        <v>41</v>
      </c>
      <c r="B65" s="4">
        <v>-5.63858688526956</v>
      </c>
      <c r="C65" s="4">
        <v>3.63858688526956</v>
      </c>
      <c r="D65" s="4">
        <v>1.1833010721169412</v>
      </c>
    </row>
    <row r="66" spans="1:4" x14ac:dyDescent="0.25">
      <c r="A66">
        <v>42</v>
      </c>
      <c r="B66" s="4">
        <v>-5.5753650495197764</v>
      </c>
      <c r="C66" s="4">
        <v>1.5753650495197764</v>
      </c>
      <c r="D66" s="4">
        <v>0.51232283599411921</v>
      </c>
    </row>
    <row r="67" spans="1:4" x14ac:dyDescent="0.25">
      <c r="A67">
        <v>43</v>
      </c>
      <c r="B67" s="4">
        <v>-5.6756977771059036</v>
      </c>
      <c r="C67" s="4">
        <v>-4.3243022228940964</v>
      </c>
      <c r="D67" s="4">
        <v>-1.4063018468031372</v>
      </c>
    </row>
    <row r="68" spans="1:4" x14ac:dyDescent="0.25">
      <c r="A68">
        <v>44</v>
      </c>
      <c r="B68" s="4">
        <v>-5.7158967067348705</v>
      </c>
      <c r="C68" s="4">
        <v>-4.2841032932651295</v>
      </c>
      <c r="D68" s="4">
        <v>-1.3932287945364779</v>
      </c>
    </row>
    <row r="69" spans="1:4" x14ac:dyDescent="0.25">
      <c r="A69">
        <v>45</v>
      </c>
      <c r="B69" s="4">
        <v>-5.4480813248031561</v>
      </c>
      <c r="C69" s="4">
        <v>-3.5519186751968439</v>
      </c>
      <c r="D69" s="4">
        <v>-1.1551157932899652</v>
      </c>
    </row>
    <row r="70" spans="1:4" x14ac:dyDescent="0.25">
      <c r="A70">
        <v>46</v>
      </c>
      <c r="B70" s="4">
        <v>-5.7102255433642783</v>
      </c>
      <c r="C70" s="4">
        <v>-4.2897744566357217</v>
      </c>
      <c r="D70" s="4">
        <v>-1.3950731077020477</v>
      </c>
    </row>
    <row r="71" spans="1:4" x14ac:dyDescent="0.25">
      <c r="A71">
        <v>47</v>
      </c>
      <c r="B71" s="4">
        <v>-5.7066842146910464</v>
      </c>
      <c r="C71" s="4">
        <v>-4.2933157853089536</v>
      </c>
      <c r="D71" s="4">
        <v>-1.3962247795317677</v>
      </c>
    </row>
    <row r="72" spans="1:4" x14ac:dyDescent="0.25">
      <c r="A72">
        <v>48</v>
      </c>
      <c r="B72" s="4">
        <v>-5.3053661107791026</v>
      </c>
      <c r="C72" s="4">
        <v>-1.6946338892208974</v>
      </c>
      <c r="D72" s="4">
        <v>-0.551110131814877</v>
      </c>
    </row>
    <row r="73" spans="1:4" x14ac:dyDescent="0.25">
      <c r="A73">
        <v>49</v>
      </c>
      <c r="B73" s="4">
        <v>-5.7559791332541819</v>
      </c>
      <c r="C73" s="4">
        <v>6.7559791332541819</v>
      </c>
      <c r="D73" s="4">
        <v>2.1971049760948902</v>
      </c>
    </row>
    <row r="74" spans="1:4" x14ac:dyDescent="0.25">
      <c r="A74">
        <v>50</v>
      </c>
      <c r="B74" s="4">
        <v>-5.587613436787283</v>
      </c>
      <c r="C74" s="4">
        <v>7.587613436787283</v>
      </c>
      <c r="D74" s="4">
        <v>2.4675599065416152</v>
      </c>
    </row>
    <row r="75" spans="1:4" x14ac:dyDescent="0.25">
      <c r="A75">
        <v>51</v>
      </c>
      <c r="B75" s="4">
        <v>-5.6059805252749344</v>
      </c>
      <c r="C75" s="4">
        <v>-4.3940194747250656</v>
      </c>
      <c r="D75" s="4">
        <v>-1.4289745220580861</v>
      </c>
    </row>
    <row r="76" spans="1:4" x14ac:dyDescent="0.25">
      <c r="A76">
        <v>52</v>
      </c>
      <c r="B76" s="4">
        <v>-4.3372662579852737</v>
      </c>
      <c r="C76" s="4">
        <v>2.3372662579852737</v>
      </c>
      <c r="D76" s="4">
        <v>0.76009993882331972</v>
      </c>
    </row>
    <row r="77" spans="1:4" x14ac:dyDescent="0.25">
      <c r="A77">
        <v>53</v>
      </c>
      <c r="B77" s="4">
        <v>-5.5347215168612633</v>
      </c>
      <c r="C77" s="4">
        <v>-0.46527848313873665</v>
      </c>
      <c r="D77" s="4">
        <v>-0.15131273356695546</v>
      </c>
    </row>
    <row r="78" spans="1:4" x14ac:dyDescent="0.25">
      <c r="A78">
        <v>54</v>
      </c>
      <c r="B78" s="4">
        <v>-5.315685412003349</v>
      </c>
      <c r="C78" s="4">
        <v>-1.684314587996651</v>
      </c>
      <c r="D78" s="4">
        <v>-0.547754202552453</v>
      </c>
    </row>
    <row r="79" spans="1:4" x14ac:dyDescent="0.25">
      <c r="A79">
        <v>55</v>
      </c>
      <c r="B79" s="4">
        <v>-5.7005407167530118</v>
      </c>
      <c r="C79" s="4">
        <v>2.7005407167530118</v>
      </c>
      <c r="D79" s="4">
        <v>0.87824004928016264</v>
      </c>
    </row>
    <row r="80" spans="1:4" x14ac:dyDescent="0.25">
      <c r="A80">
        <v>56</v>
      </c>
      <c r="B80" s="4">
        <v>-5.7412209918022992</v>
      </c>
      <c r="C80" s="4">
        <v>-1.2587790081977008</v>
      </c>
      <c r="D80" s="4">
        <v>-0.40936621741500362</v>
      </c>
    </row>
    <row r="81" spans="1:4" x14ac:dyDescent="0.25">
      <c r="A81">
        <v>57</v>
      </c>
      <c r="B81" s="4">
        <v>-5.5376248410904196</v>
      </c>
      <c r="C81" s="4">
        <v>-0.46237515890958036</v>
      </c>
      <c r="D81" s="4">
        <v>-0.15036854650164944</v>
      </c>
    </row>
    <row r="82" spans="1:4" x14ac:dyDescent="0.25">
      <c r="A82">
        <v>58</v>
      </c>
      <c r="B82" s="4">
        <v>-5.3642966104319374</v>
      </c>
      <c r="C82" s="4">
        <v>-3.6357033895680626</v>
      </c>
      <c r="D82" s="4">
        <v>-1.1823633334665768</v>
      </c>
    </row>
    <row r="83" spans="1:4" x14ac:dyDescent="0.25">
      <c r="A83">
        <v>59</v>
      </c>
      <c r="B83" s="4">
        <v>-5.6872926196837366</v>
      </c>
      <c r="C83" s="4">
        <v>0.68729261968373656</v>
      </c>
      <c r="D83" s="4">
        <v>0.22351372095092251</v>
      </c>
    </row>
    <row r="84" spans="1:4" x14ac:dyDescent="0.25">
      <c r="A84">
        <v>60</v>
      </c>
      <c r="B84" s="4">
        <v>-5.7978331152997393</v>
      </c>
      <c r="C84" s="4">
        <v>4.7978331152997393</v>
      </c>
      <c r="D84" s="4">
        <v>1.5602983378399531</v>
      </c>
    </row>
    <row r="85" spans="1:4" x14ac:dyDescent="0.25">
      <c r="A85">
        <v>61</v>
      </c>
      <c r="B85" s="4">
        <v>-5.0720328382762467</v>
      </c>
      <c r="C85" s="4">
        <v>7.2032838276246736E-2</v>
      </c>
      <c r="D85" s="4">
        <v>2.3425724724337418E-2</v>
      </c>
    </row>
    <row r="86" spans="1:4" x14ac:dyDescent="0.25">
      <c r="A86">
        <v>62</v>
      </c>
      <c r="B86" s="4">
        <v>-5.6564699457821428</v>
      </c>
      <c r="C86" s="4">
        <v>1.6564699457821428</v>
      </c>
      <c r="D86" s="4">
        <v>0.53869887529930172</v>
      </c>
    </row>
    <row r="87" spans="1:4" x14ac:dyDescent="0.25">
      <c r="A87">
        <v>63</v>
      </c>
      <c r="B87" s="4">
        <v>-5.6188230468648657</v>
      </c>
      <c r="C87" s="4">
        <v>2.6188230468648657</v>
      </c>
      <c r="D87" s="4">
        <v>0.85166473049885016</v>
      </c>
    </row>
    <row r="88" spans="1:4" x14ac:dyDescent="0.25">
      <c r="A88">
        <v>64</v>
      </c>
      <c r="B88" s="4">
        <v>-5.7573756988081692</v>
      </c>
      <c r="C88" s="4">
        <v>3.7573756988081692</v>
      </c>
      <c r="D88" s="4">
        <v>1.2219322591265989</v>
      </c>
    </row>
    <row r="89" spans="1:4" x14ac:dyDescent="0.25">
      <c r="A89">
        <v>65</v>
      </c>
      <c r="B89" s="4">
        <v>-5.2675790586701234</v>
      </c>
      <c r="C89" s="4">
        <v>-1.7324209413298766</v>
      </c>
      <c r="D89" s="4">
        <v>-0.56339881989147933</v>
      </c>
    </row>
    <row r="90" spans="1:4" x14ac:dyDescent="0.25">
      <c r="A90">
        <v>66</v>
      </c>
      <c r="B90" s="4">
        <v>-4.8480064567866199</v>
      </c>
      <c r="C90" s="4">
        <v>1.8480064567866199</v>
      </c>
      <c r="D90" s="4">
        <v>0.60098826564990349</v>
      </c>
    </row>
    <row r="91" spans="1:4" x14ac:dyDescent="0.25">
      <c r="A91">
        <v>67</v>
      </c>
      <c r="B91" s="4">
        <v>-5.7501049889804472</v>
      </c>
      <c r="C91" s="4">
        <v>-3.2498950110195528</v>
      </c>
      <c r="D91" s="4">
        <v>-1.0568949902984217</v>
      </c>
    </row>
    <row r="92" spans="1:4" x14ac:dyDescent="0.25">
      <c r="A92">
        <v>68</v>
      </c>
      <c r="B92" s="4">
        <v>-5.500793145136365</v>
      </c>
      <c r="C92" s="4">
        <v>-4.499206854863635</v>
      </c>
      <c r="D92" s="4">
        <v>-1.4631824010000563</v>
      </c>
    </row>
    <row r="93" spans="1:4" x14ac:dyDescent="0.25">
      <c r="A93">
        <v>69</v>
      </c>
      <c r="B93" s="4">
        <v>-5.7732034344179501</v>
      </c>
      <c r="C93" s="4">
        <v>-2.2267965655820499</v>
      </c>
      <c r="D93" s="4">
        <v>-0.72417420458117054</v>
      </c>
    </row>
    <row r="94" spans="1:4" x14ac:dyDescent="0.25">
      <c r="A94">
        <v>70</v>
      </c>
      <c r="B94" s="4">
        <v>-5.7066842146910464</v>
      </c>
      <c r="C94" s="4">
        <v>4.7066842146910464</v>
      </c>
      <c r="D94" s="4">
        <v>1.5306558982848628</v>
      </c>
    </row>
    <row r="95" spans="1:4" x14ac:dyDescent="0.25">
      <c r="A95">
        <v>71</v>
      </c>
      <c r="B95" s="4">
        <v>-5.753831208837747</v>
      </c>
      <c r="C95" s="4">
        <v>3.753831208837747</v>
      </c>
      <c r="D95" s="4">
        <v>1.2207795592146939</v>
      </c>
    </row>
    <row r="96" spans="1:4" x14ac:dyDescent="0.25">
      <c r="A96">
        <v>72</v>
      </c>
      <c r="B96" s="4">
        <v>-5.6547610347122745</v>
      </c>
      <c r="C96" s="4">
        <v>-1.3452389652877255</v>
      </c>
      <c r="D96" s="4">
        <v>-0.43748377050518672</v>
      </c>
    </row>
    <row r="97" spans="1:4" x14ac:dyDescent="0.25">
      <c r="A97">
        <v>73</v>
      </c>
      <c r="B97" s="4">
        <v>-5.699274724294928</v>
      </c>
      <c r="C97" s="4">
        <v>2.699274724294928</v>
      </c>
      <c r="D97" s="4">
        <v>0.87782833718418196</v>
      </c>
    </row>
    <row r="98" spans="1:4" x14ac:dyDescent="0.25">
      <c r="A98">
        <v>74</v>
      </c>
      <c r="B98" s="4">
        <v>-5.6208895468885371</v>
      </c>
      <c r="C98" s="4">
        <v>0.62088954688853715</v>
      </c>
      <c r="D98" s="4">
        <v>0.20191884642737579</v>
      </c>
    </row>
    <row r="99" spans="1:4" x14ac:dyDescent="0.25">
      <c r="A99">
        <v>75</v>
      </c>
      <c r="B99" s="4">
        <v>-5.4480813248031561</v>
      </c>
      <c r="C99" s="4">
        <v>1.4480813248031561</v>
      </c>
      <c r="D99" s="4">
        <v>0.47092902771927397</v>
      </c>
    </row>
    <row r="100" spans="1:4" x14ac:dyDescent="0.25">
      <c r="A100">
        <v>76</v>
      </c>
      <c r="B100" s="4">
        <v>-5.315685412003349</v>
      </c>
      <c r="C100" s="4">
        <v>1.315685412003349</v>
      </c>
      <c r="D100" s="4">
        <v>0.42787269005309053</v>
      </c>
    </row>
    <row r="101" spans="1:4" x14ac:dyDescent="0.25">
      <c r="A101">
        <v>77</v>
      </c>
      <c r="B101" s="4">
        <v>-4.7232505880425739</v>
      </c>
      <c r="C101" s="4">
        <v>-0.27674941195742608</v>
      </c>
      <c r="D101" s="4">
        <v>-9.0001389606145024E-2</v>
      </c>
    </row>
    <row r="102" spans="1:4" x14ac:dyDescent="0.25">
      <c r="A102">
        <v>78</v>
      </c>
      <c r="B102" s="4">
        <v>-5.6914070566010526</v>
      </c>
      <c r="C102" s="4">
        <v>-1.3085929433989474</v>
      </c>
      <c r="D102" s="4">
        <v>-0.42556615568461897</v>
      </c>
    </row>
    <row r="103" spans="1:4" x14ac:dyDescent="0.25">
      <c r="A103">
        <v>79</v>
      </c>
      <c r="B103" s="4">
        <v>-5.1640068103468479</v>
      </c>
      <c r="C103" s="4">
        <v>-2.8359931896531521</v>
      </c>
      <c r="D103" s="4">
        <v>-0.92229040769059623</v>
      </c>
    </row>
    <row r="104" spans="1:4" x14ac:dyDescent="0.25">
      <c r="A104">
        <v>80</v>
      </c>
      <c r="B104" s="4">
        <v>-5.4840933863282295</v>
      </c>
      <c r="C104" s="4">
        <v>-4.5159066136717705</v>
      </c>
      <c r="D104" s="4">
        <v>-1.4686133122644707</v>
      </c>
    </row>
    <row r="105" spans="1:4" x14ac:dyDescent="0.25">
      <c r="A105">
        <v>81</v>
      </c>
      <c r="B105" s="4">
        <v>-5.3001285475035607</v>
      </c>
      <c r="C105" s="4">
        <v>0.30012854750356066</v>
      </c>
      <c r="D105" s="4">
        <v>9.760449406103805E-2</v>
      </c>
    </row>
    <row r="106" spans="1:4" x14ac:dyDescent="0.25">
      <c r="A106">
        <v>82</v>
      </c>
      <c r="B106" s="4">
        <v>-5.5624886740082262</v>
      </c>
      <c r="C106" s="4">
        <v>-0.43751132599177378</v>
      </c>
      <c r="D106" s="4">
        <v>-0.14228260515236174</v>
      </c>
    </row>
    <row r="107" spans="1:4" x14ac:dyDescent="0.25">
      <c r="A107">
        <v>83</v>
      </c>
      <c r="B107" s="4">
        <v>-5.1506233981157559</v>
      </c>
      <c r="C107" s="4">
        <v>0.15062339811575587</v>
      </c>
      <c r="D107" s="4">
        <v>4.8984079285787525E-2</v>
      </c>
    </row>
    <row r="108" spans="1:4" x14ac:dyDescent="0.25">
      <c r="A108">
        <v>84</v>
      </c>
      <c r="B108" s="4">
        <v>-5.7066842146910464</v>
      </c>
      <c r="C108" s="4">
        <v>0.70668421469104636</v>
      </c>
      <c r="D108" s="4">
        <v>0.22982004147747145</v>
      </c>
    </row>
    <row r="109" spans="1:4" x14ac:dyDescent="0.25">
      <c r="A109">
        <v>85</v>
      </c>
      <c r="B109" s="4">
        <v>-5.7313039805743147</v>
      </c>
      <c r="C109" s="4">
        <v>1.7313039805743147</v>
      </c>
      <c r="D109" s="4">
        <v>0.56303557424110895</v>
      </c>
    </row>
    <row r="110" spans="1:4" x14ac:dyDescent="0.25">
      <c r="A110">
        <v>86</v>
      </c>
      <c r="B110" s="4">
        <v>-5.6269664911930555</v>
      </c>
      <c r="C110" s="4">
        <v>-2.3730335088069445</v>
      </c>
      <c r="D110" s="4">
        <v>-0.77173176941538302</v>
      </c>
    </row>
    <row r="111" spans="1:4" x14ac:dyDescent="0.25">
      <c r="A111">
        <v>87</v>
      </c>
      <c r="B111" s="4">
        <v>-5.5827874460545006</v>
      </c>
      <c r="C111" s="4">
        <v>-0.41721255394549939</v>
      </c>
      <c r="D111" s="4">
        <v>-0.13568126252062343</v>
      </c>
    </row>
    <row r="112" spans="1:4" x14ac:dyDescent="0.25">
      <c r="A112">
        <v>88</v>
      </c>
      <c r="B112" s="4">
        <v>-5.3549593205562545</v>
      </c>
      <c r="C112" s="4">
        <v>-1.6450406794437455</v>
      </c>
      <c r="D112" s="4">
        <v>-0.53498197543180448</v>
      </c>
    </row>
    <row r="113" spans="1:4" x14ac:dyDescent="0.25">
      <c r="A113">
        <v>89</v>
      </c>
      <c r="B113" s="4">
        <v>-5.0567914285617448</v>
      </c>
      <c r="C113" s="4">
        <v>4.0567914285617448</v>
      </c>
      <c r="D113" s="4">
        <v>1.3193049384654996</v>
      </c>
    </row>
    <row r="114" spans="1:4" ht="15.75" thickBot="1" x14ac:dyDescent="0.3">
      <c r="A114" s="1">
        <v>90</v>
      </c>
      <c r="B114" s="5">
        <v>-5.5899904776198497</v>
      </c>
      <c r="C114" s="5">
        <v>-4.4100095223801503</v>
      </c>
      <c r="D114" s="5">
        <v>-1.4341746288935344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6F16-44E7-49BB-AB1D-37213FB61710}">
  <dimension ref="A1:I91"/>
  <sheetViews>
    <sheetView workbookViewId="0">
      <selection activeCell="O27" sqref="O27"/>
    </sheetView>
  </sheetViews>
  <sheetFormatPr defaultRowHeight="15" x14ac:dyDescent="0.25"/>
  <cols>
    <col min="2" max="2" width="12" bestFit="1" customWidth="1"/>
    <col min="4" max="4" width="27.28515625" bestFit="1" customWidth="1"/>
    <col min="5" max="5" width="11.5703125" bestFit="1" customWidth="1"/>
    <col min="6" max="6" width="26.7109375" bestFit="1" customWidth="1"/>
    <col min="7" max="7" width="32.7109375" customWidth="1"/>
  </cols>
  <sheetData>
    <row r="1" spans="1:9" x14ac:dyDescent="0.25">
      <c r="A1" t="s">
        <v>1</v>
      </c>
      <c r="B1" t="s">
        <v>77</v>
      </c>
      <c r="C1" t="s">
        <v>2</v>
      </c>
      <c r="D1" t="s">
        <v>61</v>
      </c>
      <c r="E1" t="s">
        <v>29</v>
      </c>
      <c r="F1" t="s">
        <v>37</v>
      </c>
      <c r="G1" s="8" t="s">
        <v>20</v>
      </c>
      <c r="H1" s="8" t="s">
        <v>39</v>
      </c>
    </row>
    <row r="2" spans="1:9" x14ac:dyDescent="0.25">
      <c r="A2">
        <v>233</v>
      </c>
      <c r="B2" s="4">
        <f>1/A2</f>
        <v>4.2918454935622317E-3</v>
      </c>
      <c r="C2" s="13">
        <v>-7</v>
      </c>
      <c r="D2" s="4">
        <f>$H$2*Таблица24[[#This Row],[1/Y]]+$H$3</f>
        <v>-5.2914183200915401</v>
      </c>
      <c r="E2" s="4">
        <f>ABS(Таблица24[[#This Row],[Предсказанные значения]]-Таблица24[[#This Row],[Z]])</f>
        <v>1.7085816799084599</v>
      </c>
      <c r="F2" s="4">
        <f>ABS(Таблица24[[#This Row],[Остатки]]/Таблица24[[#This Row],[Z]])</f>
        <v>0.24408309712977999</v>
      </c>
      <c r="G2" s="8" t="s">
        <v>55</v>
      </c>
      <c r="H2" s="8">
        <v>218.21125461253482</v>
      </c>
    </row>
    <row r="3" spans="1:9" x14ac:dyDescent="0.25">
      <c r="A3">
        <v>432</v>
      </c>
      <c r="B3" s="4">
        <f t="shared" ref="B3:B66" si="0">1/A3</f>
        <v>2.3148148148148147E-3</v>
      </c>
      <c r="C3">
        <v>-6</v>
      </c>
      <c r="D3" s="4">
        <f>$H$2*Таблица24[[#This Row],[1/Y]]+$H$3</f>
        <v>-5.7228286649084854</v>
      </c>
      <c r="E3" s="4">
        <f>ABS(Таблица24[[#This Row],[Предсказанные значения]]-Таблица24[[#This Row],[Z]])</f>
        <v>0.27717133509151459</v>
      </c>
      <c r="F3" s="4">
        <f>ABS(Таблица24[[#This Row],[Остатки]]/Таблица24[[#This Row],[Z]])</f>
        <v>4.6195222515252432E-2</v>
      </c>
      <c r="G3" s="8" t="s">
        <v>32</v>
      </c>
      <c r="H3" s="8">
        <v>-6.2279473098449083</v>
      </c>
    </row>
    <row r="4" spans="1:9" x14ac:dyDescent="0.25">
      <c r="A4">
        <v>385</v>
      </c>
      <c r="B4" s="4">
        <f t="shared" si="0"/>
        <v>2.5974025974025974E-3</v>
      </c>
      <c r="C4" s="13">
        <v>-10</v>
      </c>
      <c r="D4" s="4">
        <f>$H$2*Таблица24[[#This Row],[1/Y]]+$H$3</f>
        <v>-5.6611648303318312</v>
      </c>
      <c r="E4" s="4">
        <f>ABS(Таблица24[[#This Row],[Предсказанные значения]]-Таблица24[[#This Row],[Z]])</f>
        <v>4.3388351696681688</v>
      </c>
      <c r="F4" s="4">
        <f>ABS(Таблица24[[#This Row],[Остатки]]/Таблица24[[#This Row],[Z]])</f>
        <v>0.43388351696681687</v>
      </c>
      <c r="G4" s="15" t="s">
        <v>36</v>
      </c>
      <c r="H4" s="10">
        <f>SUM(Таблица24[Нормированные остатки])/COUNT(Таблица24[Y])</f>
        <v>0.92740345629734844</v>
      </c>
      <c r="I4" t="s">
        <v>79</v>
      </c>
    </row>
    <row r="5" spans="1:9" x14ac:dyDescent="0.25">
      <c r="A5">
        <v>347</v>
      </c>
      <c r="B5" s="4">
        <f t="shared" si="0"/>
        <v>2.881844380403458E-3</v>
      </c>
      <c r="C5">
        <v>-1</v>
      </c>
      <c r="D5" s="4">
        <f>$H$2*Таблица24[[#This Row],[1/Y]]+$H$3</f>
        <v>-5.5990964319989871</v>
      </c>
      <c r="E5" s="4">
        <f>ABS(Таблица24[[#This Row],[Предсказанные значения]]-Таблица24[[#This Row],[Z]])</f>
        <v>4.5990964319989871</v>
      </c>
      <c r="F5" s="4">
        <f>ABS(Таблица24[[#This Row],[Остатки]]/Таблица24[[#This Row],[Z]])</f>
        <v>4.5990964319989871</v>
      </c>
    </row>
    <row r="6" spans="1:9" x14ac:dyDescent="0.25">
      <c r="A6">
        <v>274</v>
      </c>
      <c r="B6" s="4">
        <f t="shared" si="0"/>
        <v>3.6496350364963502E-3</v>
      </c>
      <c r="C6" s="13">
        <v>-2</v>
      </c>
      <c r="D6" s="4">
        <f>$H$2*Таблица24[[#This Row],[1/Y]]+$H$3</f>
        <v>-5.4315558696531756</v>
      </c>
      <c r="E6" s="4">
        <f>ABS(Таблица24[[#This Row],[Предсказанные значения]]-Таблица24[[#This Row],[Z]])</f>
        <v>3.4315558696531756</v>
      </c>
      <c r="F6" s="4">
        <f>ABS(Таблица24[[#This Row],[Остатки]]/Таблица24[[#This Row],[Z]])</f>
        <v>1.7157779348265878</v>
      </c>
    </row>
    <row r="7" spans="1:9" x14ac:dyDescent="0.25">
      <c r="A7">
        <v>276</v>
      </c>
      <c r="B7" s="4">
        <f t="shared" si="0"/>
        <v>3.6231884057971015E-3</v>
      </c>
      <c r="C7">
        <v>-6</v>
      </c>
      <c r="D7" s="4">
        <f>$H$2*Таблица24[[#This Row],[1/Y]]+$H$3</f>
        <v>-5.4373268221183331</v>
      </c>
      <c r="E7" s="4">
        <f>ABS(Таблица24[[#This Row],[Предсказанные значения]]-Таблица24[[#This Row],[Z]])</f>
        <v>0.56267317788166693</v>
      </c>
      <c r="F7" s="4">
        <f>ABS(Таблица24[[#This Row],[Остатки]]/Таблица24[[#This Row],[Z]])</f>
        <v>9.3778862980277822E-2</v>
      </c>
    </row>
    <row r="8" spans="1:9" x14ac:dyDescent="0.25">
      <c r="A8">
        <v>294</v>
      </c>
      <c r="B8" s="4">
        <f t="shared" si="0"/>
        <v>3.4013605442176869E-3</v>
      </c>
      <c r="C8" s="13">
        <v>-6</v>
      </c>
      <c r="D8" s="4">
        <f>$H$2*Таблица24[[#This Row],[1/Y]]+$H$3</f>
        <v>-5.4857321581015928</v>
      </c>
      <c r="E8" s="4">
        <f>ABS(Таблица24[[#This Row],[Предсказанные значения]]-Таблица24[[#This Row],[Z]])</f>
        <v>0.51426784189840724</v>
      </c>
      <c r="F8" s="4">
        <f>ABS(Таблица24[[#This Row],[Остатки]]/Таблица24[[#This Row],[Z]])</f>
        <v>8.5711306983067878E-2</v>
      </c>
    </row>
    <row r="9" spans="1:9" x14ac:dyDescent="0.25">
      <c r="A9">
        <v>348</v>
      </c>
      <c r="B9" s="4">
        <f t="shared" si="0"/>
        <v>2.8735632183908046E-3</v>
      </c>
      <c r="C9">
        <v>-5</v>
      </c>
      <c r="D9" s="4">
        <f>$H$2*Таблица24[[#This Row],[1/Y]]+$H$3</f>
        <v>-5.6009034747514175</v>
      </c>
      <c r="E9" s="4">
        <f>ABS(Таблица24[[#This Row],[Предсказанные значения]]-Таблица24[[#This Row],[Z]])</f>
        <v>0.60090347475141748</v>
      </c>
      <c r="F9" s="4">
        <f>ABS(Таблица24[[#This Row],[Остатки]]/Таблица24[[#This Row],[Z]])</f>
        <v>0.1201806949502835</v>
      </c>
    </row>
    <row r="10" spans="1:9" x14ac:dyDescent="0.25">
      <c r="A10">
        <v>315</v>
      </c>
      <c r="B10" s="4">
        <f t="shared" si="0"/>
        <v>3.1746031746031746E-3</v>
      </c>
      <c r="C10" s="13">
        <v>-10</v>
      </c>
      <c r="D10" s="4">
        <f>$H$2*Таблица24[[#This Row],[1/Y]]+$H$3</f>
        <v>-5.5352131682178136</v>
      </c>
      <c r="E10" s="4">
        <f>ABS(Таблица24[[#This Row],[Предсказанные значения]]-Таблица24[[#This Row],[Z]])</f>
        <v>4.4647868317821864</v>
      </c>
      <c r="F10" s="4">
        <f>ABS(Таблица24[[#This Row],[Остатки]]/Таблица24[[#This Row],[Z]])</f>
        <v>0.44647868317821865</v>
      </c>
    </row>
    <row r="11" spans="1:9" x14ac:dyDescent="0.25">
      <c r="A11">
        <v>307</v>
      </c>
      <c r="B11" s="4">
        <f t="shared" si="0"/>
        <v>3.2573289902280132E-3</v>
      </c>
      <c r="C11">
        <v>-4</v>
      </c>
      <c r="D11" s="4">
        <f>$H$2*Таблица24[[#This Row],[1/Y]]+$H$3</f>
        <v>-5.5171614642014726</v>
      </c>
      <c r="E11" s="4">
        <f>ABS(Таблица24[[#This Row],[Предсказанные значения]]-Таблица24[[#This Row],[Z]])</f>
        <v>1.5171614642014726</v>
      </c>
      <c r="F11" s="4">
        <f>ABS(Таблица24[[#This Row],[Остатки]]/Таблица24[[#This Row],[Z]])</f>
        <v>0.37929036605036814</v>
      </c>
    </row>
    <row r="12" spans="1:9" x14ac:dyDescent="0.25">
      <c r="A12">
        <v>377</v>
      </c>
      <c r="B12" s="4">
        <f t="shared" si="0"/>
        <v>2.6525198938992041E-3</v>
      </c>
      <c r="C12" s="13">
        <v>-9</v>
      </c>
      <c r="D12" s="4">
        <f>$H$2*Таблица24[[#This Row],[1/Y]]+$H$3</f>
        <v>-5.6491376159124549</v>
      </c>
      <c r="E12" s="4">
        <f>ABS(Таблица24[[#This Row],[Предсказанные значения]]-Таблица24[[#This Row],[Z]])</f>
        <v>3.3508623840875451</v>
      </c>
      <c r="F12" s="4">
        <f>ABS(Таблица24[[#This Row],[Остатки]]/Таблица24[[#This Row],[Z]])</f>
        <v>0.3723180426763939</v>
      </c>
    </row>
    <row r="13" spans="1:9" x14ac:dyDescent="0.25">
      <c r="A13">
        <v>338</v>
      </c>
      <c r="B13" s="4">
        <f t="shared" si="0"/>
        <v>2.9585798816568047E-3</v>
      </c>
      <c r="C13">
        <v>-5</v>
      </c>
      <c r="D13" s="4">
        <f>$H$2*Таблица24[[#This Row],[1/Y]]+$H$3</f>
        <v>-5.5823518819971722</v>
      </c>
      <c r="E13" s="4">
        <f>ABS(Таблица24[[#This Row],[Предсказанные значения]]-Таблица24[[#This Row],[Z]])</f>
        <v>0.58235188199717225</v>
      </c>
      <c r="F13" s="4">
        <f>ABS(Таблица24[[#This Row],[Остатки]]/Таблица24[[#This Row],[Z]])</f>
        <v>0.11647037639943444</v>
      </c>
    </row>
    <row r="14" spans="1:9" x14ac:dyDescent="0.25">
      <c r="A14">
        <v>353</v>
      </c>
      <c r="B14" s="4">
        <f t="shared" si="0"/>
        <v>2.8328611898016999E-3</v>
      </c>
      <c r="C14" s="13">
        <v>-7</v>
      </c>
      <c r="D14" s="4">
        <f>$H$2*Таблица24[[#This Row],[1/Y]]+$H$3</f>
        <v>-5.6097851154751215</v>
      </c>
      <c r="E14" s="4">
        <f>ABS(Таблица24[[#This Row],[Предсказанные значения]]-Таблица24[[#This Row],[Z]])</f>
        <v>1.3902148845248785</v>
      </c>
      <c r="F14" s="4">
        <f>ABS(Таблица24[[#This Row],[Остатки]]/Таблица24[[#This Row],[Z]])</f>
        <v>0.19860212636069693</v>
      </c>
    </row>
    <row r="15" spans="1:9" x14ac:dyDescent="0.25">
      <c r="A15">
        <v>332</v>
      </c>
      <c r="B15" s="4">
        <f t="shared" si="0"/>
        <v>3.0120481927710845E-3</v>
      </c>
      <c r="C15">
        <v>-3</v>
      </c>
      <c r="D15" s="4">
        <f>$H$2*Таблица24[[#This Row],[1/Y]]+$H$3</f>
        <v>-5.5706844947469119</v>
      </c>
      <c r="E15" s="4">
        <f>ABS(Таблица24[[#This Row],[Предсказанные значения]]-Таблица24[[#This Row],[Z]])</f>
        <v>2.5706844947469119</v>
      </c>
      <c r="F15" s="4">
        <f>ABS(Таблица24[[#This Row],[Остатки]]/Таблица24[[#This Row],[Z]])</f>
        <v>0.85689483158230395</v>
      </c>
    </row>
    <row r="16" spans="1:9" x14ac:dyDescent="0.25">
      <c r="A16">
        <v>307</v>
      </c>
      <c r="B16" s="4">
        <f t="shared" si="0"/>
        <v>3.2573289902280132E-3</v>
      </c>
      <c r="C16" s="13">
        <v>-10</v>
      </c>
      <c r="D16" s="4">
        <f>$H$2*Таблица24[[#This Row],[1/Y]]+$H$3</f>
        <v>-5.5171614642014726</v>
      </c>
      <c r="E16" s="4">
        <f>ABS(Таблица24[[#This Row],[Предсказанные значения]]-Таблица24[[#This Row],[Z]])</f>
        <v>4.4828385357985274</v>
      </c>
      <c r="F16" s="4">
        <f>ABS(Таблица24[[#This Row],[Остатки]]/Таблица24[[#This Row],[Z]])</f>
        <v>0.44828385357985273</v>
      </c>
    </row>
    <row r="17" spans="1:8" x14ac:dyDescent="0.25">
      <c r="A17">
        <v>264</v>
      </c>
      <c r="B17" s="4">
        <f t="shared" si="0"/>
        <v>3.787878787878788E-3</v>
      </c>
      <c r="C17">
        <v>-1</v>
      </c>
      <c r="D17" s="4">
        <f>$H$2*Таблица24[[#This Row],[1/Y]]+$H$3</f>
        <v>-5.4013895272216708</v>
      </c>
      <c r="E17" s="4">
        <f>ABS(Таблица24[[#This Row],[Предсказанные значения]]-Таблица24[[#This Row],[Z]])</f>
        <v>4.4013895272216708</v>
      </c>
      <c r="F17" s="4">
        <f>ABS(Таблица24[[#This Row],[Остатки]]/Таблица24[[#This Row],[Z]])</f>
        <v>4.4013895272216708</v>
      </c>
    </row>
    <row r="18" spans="1:8" x14ac:dyDescent="0.25">
      <c r="A18">
        <v>285</v>
      </c>
      <c r="B18" s="4">
        <f t="shared" si="0"/>
        <v>3.5087719298245615E-3</v>
      </c>
      <c r="C18" s="13">
        <v>-3</v>
      </c>
      <c r="D18" s="4">
        <f>$H$2*Таблица24[[#This Row],[1/Y]]+$H$3</f>
        <v>-5.4622937848886455</v>
      </c>
      <c r="E18" s="4">
        <f>ABS(Таблица24[[#This Row],[Предсказанные значения]]-Таблица24[[#This Row],[Z]])</f>
        <v>2.4622937848886455</v>
      </c>
      <c r="F18" s="4">
        <f>ABS(Таблица24[[#This Row],[Остатки]]/Таблица24[[#This Row],[Z]])</f>
        <v>0.82076459496288179</v>
      </c>
    </row>
    <row r="19" spans="1:8" x14ac:dyDescent="0.25">
      <c r="A19">
        <v>377</v>
      </c>
      <c r="B19" s="4">
        <f t="shared" si="0"/>
        <v>2.6525198938992041E-3</v>
      </c>
      <c r="C19">
        <v>-5</v>
      </c>
      <c r="D19" s="4">
        <f>$H$2*Таблица24[[#This Row],[1/Y]]+$H$3</f>
        <v>-5.6491376159124549</v>
      </c>
      <c r="E19" s="4">
        <f>ABS(Таблица24[[#This Row],[Предсказанные значения]]-Таблица24[[#This Row],[Z]])</f>
        <v>0.64913761591245489</v>
      </c>
      <c r="F19" s="4">
        <f>ABS(Таблица24[[#This Row],[Остатки]]/Таблица24[[#This Row],[Z]])</f>
        <v>0.12982752318249097</v>
      </c>
    </row>
    <row r="20" spans="1:8" x14ac:dyDescent="0.25">
      <c r="A20">
        <v>137</v>
      </c>
      <c r="B20" s="4">
        <f t="shared" si="0"/>
        <v>7.2992700729927005E-3</v>
      </c>
      <c r="C20" s="13">
        <v>-5</v>
      </c>
      <c r="D20" s="4">
        <f>$H$2*Таблица24[[#This Row],[1/Y]]+$H$3</f>
        <v>-4.635164429461442</v>
      </c>
      <c r="E20" s="4">
        <f>ABS(Таблица24[[#This Row],[Предсказанные значения]]-Таблица24[[#This Row],[Z]])</f>
        <v>0.36483557053855797</v>
      </c>
      <c r="F20" s="4">
        <f>ABS(Таблица24[[#This Row],[Остатки]]/Таблица24[[#This Row],[Z]])</f>
        <v>7.2967114107711589E-2</v>
      </c>
    </row>
    <row r="21" spans="1:8" x14ac:dyDescent="0.25">
      <c r="A21">
        <v>245</v>
      </c>
      <c r="B21" s="4">
        <f t="shared" si="0"/>
        <v>4.0816326530612249E-3</v>
      </c>
      <c r="C21">
        <v>-1</v>
      </c>
      <c r="D21" s="4">
        <f>$H$2*Таблица24[[#This Row],[1/Y]]+$H$3</f>
        <v>-5.3372891277529293</v>
      </c>
      <c r="E21" s="4">
        <f>ABS(Таблица24[[#This Row],[Предсказанные значения]]-Таблица24[[#This Row],[Z]])</f>
        <v>4.3372891277529293</v>
      </c>
      <c r="F21" s="4">
        <f>ABS(Таблица24[[#This Row],[Остатки]]/Таблица24[[#This Row],[Z]])</f>
        <v>4.3372891277529293</v>
      </c>
    </row>
    <row r="22" spans="1:8" x14ac:dyDescent="0.25">
      <c r="A22">
        <v>421</v>
      </c>
      <c r="B22" s="4">
        <f t="shared" si="0"/>
        <v>2.3752969121140144E-3</v>
      </c>
      <c r="C22" s="13">
        <v>1</v>
      </c>
      <c r="D22" s="4">
        <f>$H$2*Таблица24[[#This Row],[1/Y]]+$H$3</f>
        <v>-5.709630790575229</v>
      </c>
      <c r="E22" s="4">
        <f>ABS(Таблица24[[#This Row],[Предсказанные значения]]-Таблица24[[#This Row],[Z]])</f>
        <v>6.709630790575229</v>
      </c>
      <c r="F22" s="4">
        <f>ABS(Таблица24[[#This Row],[Остатки]]/Таблица24[[#This Row],[Z]])</f>
        <v>6.709630790575229</v>
      </c>
    </row>
    <row r="23" spans="1:8" x14ac:dyDescent="0.25">
      <c r="A23">
        <v>313</v>
      </c>
      <c r="B23" s="4">
        <f t="shared" si="0"/>
        <v>3.1948881789137379E-3</v>
      </c>
      <c r="C23">
        <v>-10</v>
      </c>
      <c r="D23" s="4">
        <f>$H$2*Таблица24[[#This Row],[1/Y]]+$H$3</f>
        <v>-5.5307867519773852</v>
      </c>
      <c r="E23" s="4">
        <f>ABS(Таблица24[[#This Row],[Предсказанные значения]]-Таблица24[[#This Row],[Z]])</f>
        <v>4.4692132480226148</v>
      </c>
      <c r="F23" s="4">
        <f>ABS(Таблица24[[#This Row],[Остатки]]/Таблица24[[#This Row],[Z]])</f>
        <v>0.44692132480226149</v>
      </c>
    </row>
    <row r="24" spans="1:8" x14ac:dyDescent="0.25">
      <c r="A24">
        <v>359</v>
      </c>
      <c r="B24" s="4">
        <f t="shared" si="0"/>
        <v>2.7855153203342618E-3</v>
      </c>
      <c r="C24" s="13">
        <v>-3</v>
      </c>
      <c r="D24" s="4">
        <f>$H$2*Таблица24[[#This Row],[1/Y]]+$H$3</f>
        <v>-5.620116517052332</v>
      </c>
      <c r="E24" s="4">
        <f>ABS(Таблица24[[#This Row],[Предсказанные значения]]-Таблица24[[#This Row],[Z]])</f>
        <v>2.620116517052332</v>
      </c>
      <c r="F24" s="4">
        <f>ABS(Таблица24[[#This Row],[Остатки]]/Таблица24[[#This Row],[Z]])</f>
        <v>0.87337217235077735</v>
      </c>
    </row>
    <row r="25" spans="1:8" x14ac:dyDescent="0.25">
      <c r="A25">
        <v>443</v>
      </c>
      <c r="B25" s="4">
        <f t="shared" si="0"/>
        <v>2.257336343115124E-3</v>
      </c>
      <c r="C25">
        <v>-9</v>
      </c>
      <c r="D25" s="4">
        <f>$H$2*Таблица24[[#This Row],[1/Y]]+$H$3</f>
        <v>-5.7353711143312855</v>
      </c>
      <c r="E25" s="4">
        <f>ABS(Таблица24[[#This Row],[Предсказанные значения]]-Таблица24[[#This Row],[Z]])</f>
        <v>3.2646288856687145</v>
      </c>
      <c r="F25" s="4">
        <f>ABS(Таблица24[[#This Row],[Остатки]]/Таблица24[[#This Row],[Z]])</f>
        <v>0.3627365428520794</v>
      </c>
    </row>
    <row r="26" spans="1:8" x14ac:dyDescent="0.25">
      <c r="A26">
        <v>201</v>
      </c>
      <c r="B26" s="4">
        <f t="shared" si="0"/>
        <v>4.9751243781094526E-3</v>
      </c>
      <c r="C26" s="13">
        <v>-6</v>
      </c>
      <c r="D26" s="4">
        <f>$H$2*Таблица24[[#This Row],[1/Y]]+$H$3</f>
        <v>-5.1423191774442376</v>
      </c>
      <c r="E26" s="4">
        <f>ABS(Таблица24[[#This Row],[Предсказанные значения]]-Таблица24[[#This Row],[Z]])</f>
        <v>0.85768082255576239</v>
      </c>
      <c r="F26" s="4">
        <f>ABS(Таблица24[[#This Row],[Остатки]]/Таблица24[[#This Row],[Z]])</f>
        <v>0.14294680375929372</v>
      </c>
      <c r="G26" s="8" t="s">
        <v>47</v>
      </c>
      <c r="H26" s="10">
        <f>_xlfn.COVARIANCE.S(Таблица24[1/Y], Таблица24[Z])/SQRT(_xlfn.VAR.S(Таблица24[1/Y])*_xlfn.VAR.S(Таблица24[Z]))</f>
        <v>6.980453067259243E-2</v>
      </c>
    </row>
    <row r="27" spans="1:8" x14ac:dyDescent="0.25">
      <c r="A27">
        <v>440</v>
      </c>
      <c r="B27" s="4">
        <f t="shared" si="0"/>
        <v>2.2727272727272726E-3</v>
      </c>
      <c r="C27">
        <v>-2</v>
      </c>
      <c r="D27" s="4">
        <f>$H$2*Таблица24[[#This Row],[1/Y]]+$H$3</f>
        <v>-5.7320126402709652</v>
      </c>
      <c r="E27" s="4">
        <f>ABS(Таблица24[[#This Row],[Предсказанные значения]]-Таблица24[[#This Row],[Z]])</f>
        <v>3.7320126402709652</v>
      </c>
      <c r="F27" s="4">
        <f>ABS(Таблица24[[#This Row],[Остатки]]/Таблица24[[#This Row],[Z]])</f>
        <v>1.8660063201354826</v>
      </c>
      <c r="G27" s="8" t="s">
        <v>48</v>
      </c>
      <c r="H27" s="16">
        <f>1-SUMSQ(Таблица24[Остатки])/DEVSQ(Таблица24[Z])</f>
        <v>4.8726725024208495E-3</v>
      </c>
    </row>
    <row r="28" spans="1:8" x14ac:dyDescent="0.25">
      <c r="A28">
        <v>274</v>
      </c>
      <c r="B28" s="4">
        <f t="shared" si="0"/>
        <v>3.6496350364963502E-3</v>
      </c>
      <c r="C28" s="13">
        <v>-2</v>
      </c>
      <c r="D28" s="4">
        <f>$H$2*Таблица24[[#This Row],[1/Y]]+$H$3</f>
        <v>-5.4315558696531756</v>
      </c>
      <c r="E28" s="4">
        <f>ABS(Таблица24[[#This Row],[Предсказанные значения]]-Таблица24[[#This Row],[Z]])</f>
        <v>3.4315558696531756</v>
      </c>
      <c r="F28" s="4">
        <f>ABS(Таблица24[[#This Row],[Остатки]]/Таблица24[[#This Row],[Z]])</f>
        <v>1.7157779348265878</v>
      </c>
      <c r="G28" t="s">
        <v>62</v>
      </c>
    </row>
    <row r="29" spans="1:8" x14ac:dyDescent="0.25">
      <c r="A29">
        <v>261</v>
      </c>
      <c r="B29" s="4">
        <f t="shared" si="0"/>
        <v>3.8314176245210726E-3</v>
      </c>
      <c r="C29">
        <v>-8</v>
      </c>
      <c r="D29" s="4">
        <f>$H$2*Таблица24[[#This Row],[1/Y]]+$H$3</f>
        <v>-5.3918888630535875</v>
      </c>
      <c r="E29" s="4">
        <f>ABS(Таблица24[[#This Row],[Предсказанные значения]]-Таблица24[[#This Row],[Z]])</f>
        <v>2.6081111369464125</v>
      </c>
      <c r="F29" s="4">
        <f>ABS(Таблица24[[#This Row],[Остатки]]/Таблица24[[#This Row],[Z]])</f>
        <v>0.32601389211830156</v>
      </c>
    </row>
    <row r="30" spans="1:8" x14ac:dyDescent="0.25">
      <c r="A30">
        <v>270</v>
      </c>
      <c r="B30" s="4">
        <f t="shared" si="0"/>
        <v>3.7037037037037038E-3</v>
      </c>
      <c r="C30" s="13">
        <v>-9</v>
      </c>
      <c r="D30" s="4">
        <f>$H$2*Таблица24[[#This Row],[1/Y]]+$H$3</f>
        <v>-5.4197574779466313</v>
      </c>
      <c r="E30" s="4">
        <f>ABS(Таблица24[[#This Row],[Предсказанные значения]]-Таблица24[[#This Row],[Z]])</f>
        <v>3.5802425220533687</v>
      </c>
      <c r="F30" s="4">
        <f>ABS(Таблица24[[#This Row],[Остатки]]/Таблица24[[#This Row],[Z]])</f>
        <v>0.39780472467259653</v>
      </c>
      <c r="G30" s="8" t="s">
        <v>50</v>
      </c>
      <c r="H30" s="8" t="s">
        <v>39</v>
      </c>
    </row>
    <row r="31" spans="1:8" x14ac:dyDescent="0.25">
      <c r="A31">
        <v>345</v>
      </c>
      <c r="B31" s="4">
        <f t="shared" si="0"/>
        <v>2.8985507246376812E-3</v>
      </c>
      <c r="C31">
        <v>-2</v>
      </c>
      <c r="D31" s="4">
        <f>$H$2*Таблица24[[#This Row],[1/Y]]+$H$3</f>
        <v>-5.5954509196636479</v>
      </c>
      <c r="E31" s="4">
        <f>ABS(Таблица24[[#This Row],[Предсказанные значения]]-Таблица24[[#This Row],[Z]])</f>
        <v>3.5954509196636479</v>
      </c>
      <c r="F31" s="4">
        <f>ABS(Таблица24[[#This Row],[Остатки]]/Таблица24[[#This Row],[Z]])</f>
        <v>1.797725459831824</v>
      </c>
      <c r="G31" s="8" t="s">
        <v>52</v>
      </c>
      <c r="H31" s="10">
        <f>help_hyperbolic_yz!E12</f>
        <v>0.43089478940480125</v>
      </c>
    </row>
    <row r="32" spans="1:8" x14ac:dyDescent="0.25">
      <c r="A32">
        <v>334</v>
      </c>
      <c r="B32" s="4">
        <f t="shared" si="0"/>
        <v>2.9940119760479044E-3</v>
      </c>
      <c r="C32" s="13">
        <v>-8</v>
      </c>
      <c r="D32" s="4">
        <f>$H$2*Таблица24[[#This Row],[1/Y]]+$H$3</f>
        <v>-5.5746202002265406</v>
      </c>
      <c r="E32" s="4">
        <f>ABS(Таблица24[[#This Row],[Предсказанные значения]]-Таблица24[[#This Row],[Z]])</f>
        <v>2.4253797997734594</v>
      </c>
      <c r="F32" s="4">
        <f>ABS(Таблица24[[#This Row],[Остатки]]/Таблица24[[#This Row],[Z]])</f>
        <v>0.30317247497168243</v>
      </c>
      <c r="G32" s="8" t="s">
        <v>51</v>
      </c>
      <c r="H32" s="10">
        <f>FINV(0.05,help_hyperbolic_yz!B12,help_hyperbolic_yz!B13)</f>
        <v>3.9493210068606932</v>
      </c>
    </row>
    <row r="33" spans="1:8" x14ac:dyDescent="0.25">
      <c r="A33">
        <v>498</v>
      </c>
      <c r="B33" s="4">
        <f t="shared" si="0"/>
        <v>2.008032128514056E-3</v>
      </c>
      <c r="C33">
        <v>-9</v>
      </c>
      <c r="D33" s="4">
        <f>$H$2*Таблица24[[#This Row],[1/Y]]+$H$3</f>
        <v>-5.7897720997795776</v>
      </c>
      <c r="E33" s="4">
        <f>ABS(Таблица24[[#This Row],[Предсказанные значения]]-Таблица24[[#This Row],[Z]])</f>
        <v>3.2102279002204224</v>
      </c>
      <c r="F33" s="4">
        <f>ABS(Таблица24[[#This Row],[Остатки]]/Таблица24[[#This Row],[Z]])</f>
        <v>0.35669198891338028</v>
      </c>
      <c r="G33" t="s">
        <v>78</v>
      </c>
    </row>
    <row r="34" spans="1:8" x14ac:dyDescent="0.25">
      <c r="A34">
        <v>342</v>
      </c>
      <c r="B34" s="4">
        <f t="shared" si="0"/>
        <v>2.9239766081871343E-3</v>
      </c>
      <c r="C34" s="13">
        <v>-7</v>
      </c>
      <c r="D34" s="4">
        <f>$H$2*Таблица24[[#This Row],[1/Y]]+$H$3</f>
        <v>-5.5899027057146897</v>
      </c>
      <c r="E34" s="4">
        <f>ABS(Таблица24[[#This Row],[Предсказанные значения]]-Таблица24[[#This Row],[Z]])</f>
        <v>1.4100972942853103</v>
      </c>
      <c r="F34" s="4">
        <f>ABS(Таблица24[[#This Row],[Остатки]]/Таблица24[[#This Row],[Z]])</f>
        <v>0.20144247061218717</v>
      </c>
    </row>
    <row r="35" spans="1:8" x14ac:dyDescent="0.25">
      <c r="A35">
        <v>250</v>
      </c>
      <c r="B35" s="4">
        <f t="shared" si="0"/>
        <v>4.0000000000000001E-3</v>
      </c>
      <c r="C35">
        <v>-2</v>
      </c>
      <c r="D35" s="4">
        <f>$H$2*Таблица24[[#This Row],[1/Y]]+$H$3</f>
        <v>-5.3551022913947692</v>
      </c>
      <c r="E35" s="4">
        <f>ABS(Таблица24[[#This Row],[Предсказанные значения]]-Таблица24[[#This Row],[Z]])</f>
        <v>3.3551022913947692</v>
      </c>
      <c r="F35" s="4">
        <f>ABS(Таблица24[[#This Row],[Остатки]]/Таблица24[[#This Row],[Z]])</f>
        <v>1.6775511456973846</v>
      </c>
      <c r="G35" s="8" t="s">
        <v>54</v>
      </c>
      <c r="H35" s="8" t="s">
        <v>39</v>
      </c>
    </row>
    <row r="36" spans="1:8" x14ac:dyDescent="0.25">
      <c r="A36">
        <v>403</v>
      </c>
      <c r="B36" s="4">
        <f t="shared" si="0"/>
        <v>2.4813895781637717E-3</v>
      </c>
      <c r="C36" s="13">
        <v>-5</v>
      </c>
      <c r="D36" s="4">
        <f>$H$2*Таблица24[[#This Row],[1/Y]]+$H$3</f>
        <v>-5.6864801768113233</v>
      </c>
      <c r="E36" s="4">
        <f>ABS(Таблица24[[#This Row],[Предсказанные значения]]-Таблица24[[#This Row],[Z]])</f>
        <v>0.68648017681132334</v>
      </c>
      <c r="F36" s="4">
        <f>ABS(Таблица24[[#This Row],[Остатки]]/Таблица24[[#This Row],[Z]])</f>
        <v>0.13729603536226467</v>
      </c>
      <c r="G36" s="8" t="s">
        <v>21</v>
      </c>
      <c r="H36" s="10">
        <f>help_hyperbolic_yz!D18</f>
        <v>0.65642576838878719</v>
      </c>
    </row>
    <row r="37" spans="1:8" x14ac:dyDescent="0.25">
      <c r="A37">
        <v>434</v>
      </c>
      <c r="B37" s="4">
        <f t="shared" si="0"/>
        <v>2.304147465437788E-3</v>
      </c>
      <c r="C37">
        <v>-3</v>
      </c>
      <c r="D37" s="4">
        <f>$H$2*Таблица24[[#This Row],[1/Y]]+$H$3</f>
        <v>-5.7251564005994364</v>
      </c>
      <c r="E37" s="4">
        <f>ABS(Таблица24[[#This Row],[Предсказанные значения]]-Таблица24[[#This Row],[Z]])</f>
        <v>2.7251564005994364</v>
      </c>
      <c r="F37" s="4">
        <f>ABS(Таблица24[[#This Row],[Остатки]]/Таблица24[[#This Row],[Z]])</f>
        <v>0.90838546686647881</v>
      </c>
      <c r="G37" s="8" t="s">
        <v>53</v>
      </c>
      <c r="H37" s="10" cm="1">
        <f t="array" ref="H37">_xlfn.T.INV(0.95,COUNT(Таблица24[1/Y]-2))</f>
        <v>1.661961084030164</v>
      </c>
    </row>
    <row r="38" spans="1:8" x14ac:dyDescent="0.25">
      <c r="A38">
        <v>320</v>
      </c>
      <c r="B38" s="4">
        <f t="shared" si="0"/>
        <v>3.1250000000000002E-3</v>
      </c>
      <c r="C38" s="13">
        <v>-6</v>
      </c>
      <c r="D38" s="4">
        <f>$H$2*Таблица24[[#This Row],[1/Y]]+$H$3</f>
        <v>-5.5460371391807373</v>
      </c>
      <c r="E38" s="4">
        <f>ABS(Таблица24[[#This Row],[Предсказанные значения]]-Таблица24[[#This Row],[Z]])</f>
        <v>0.45396286081926274</v>
      </c>
      <c r="F38" s="4">
        <f>ABS(Таблица24[[#This Row],[Остатки]]/Таблица24[[#This Row],[Z]])</f>
        <v>7.5660476803210461E-2</v>
      </c>
      <c r="G38" t="s">
        <v>76</v>
      </c>
    </row>
    <row r="39" spans="1:8" x14ac:dyDescent="0.25">
      <c r="A39">
        <v>318</v>
      </c>
      <c r="B39" s="4">
        <f t="shared" si="0"/>
        <v>3.1446540880503146E-3</v>
      </c>
      <c r="C39">
        <v>-10</v>
      </c>
      <c r="D39" s="4">
        <f>$H$2*Таблица24[[#This Row],[1/Y]]+$H$3</f>
        <v>-5.5417483959690124</v>
      </c>
      <c r="E39" s="4">
        <f>ABS(Таблица24[[#This Row],[Предсказанные значения]]-Таблица24[[#This Row],[Z]])</f>
        <v>4.4582516040309876</v>
      </c>
      <c r="F39" s="4">
        <f>ABS(Таблица24[[#This Row],[Остатки]]/Таблица24[[#This Row],[Z]])</f>
        <v>0.44582516040309877</v>
      </c>
    </row>
    <row r="40" spans="1:8" ht="15" customHeight="1" x14ac:dyDescent="0.25">
      <c r="A40">
        <v>256</v>
      </c>
      <c r="B40" s="4">
        <f t="shared" si="0"/>
        <v>3.90625E-3</v>
      </c>
      <c r="C40" s="13">
        <v>-4</v>
      </c>
      <c r="D40" s="4">
        <f>$H$2*Таблица24[[#This Row],[1/Y]]+$H$3</f>
        <v>-5.3755595965146945</v>
      </c>
      <c r="E40" s="4">
        <f>ABS(Таблица24[[#This Row],[Предсказанные значения]]-Таблица24[[#This Row],[Z]])</f>
        <v>1.3755595965146945</v>
      </c>
      <c r="F40" s="4">
        <f>ABS(Таблица24[[#This Row],[Остатки]]/Таблица24[[#This Row],[Z]])</f>
        <v>0.34388989912867363</v>
      </c>
      <c r="G40" s="18" t="s">
        <v>85</v>
      </c>
      <c r="H40" s="18"/>
    </row>
    <row r="41" spans="1:8" x14ac:dyDescent="0.25">
      <c r="A41">
        <v>358</v>
      </c>
      <c r="B41" s="4">
        <f t="shared" si="0"/>
        <v>2.7932960893854749E-3</v>
      </c>
      <c r="C41">
        <v>-7</v>
      </c>
      <c r="D41" s="4">
        <f>$H$2*Таблица24[[#This Row],[1/Y]]+$H$3</f>
        <v>-5.6184186656758168</v>
      </c>
      <c r="E41" s="4">
        <f>ABS(Таблица24[[#This Row],[Предсказанные значения]]-Таблица24[[#This Row],[Z]])</f>
        <v>1.3815813343241832</v>
      </c>
      <c r="F41" s="4">
        <f>ABS(Таблица24[[#This Row],[Остатки]]/Таблица24[[#This Row],[Z]])</f>
        <v>0.19736876204631187</v>
      </c>
      <c r="G41" s="18"/>
      <c r="H41" s="18"/>
    </row>
    <row r="42" spans="1:8" x14ac:dyDescent="0.25">
      <c r="A42">
        <v>347</v>
      </c>
      <c r="B42" s="4">
        <f t="shared" si="0"/>
        <v>2.881844380403458E-3</v>
      </c>
      <c r="C42" s="13">
        <v>-2</v>
      </c>
      <c r="D42" s="4">
        <f>$H$2*Таблица24[[#This Row],[1/Y]]+$H$3</f>
        <v>-5.5990964319989871</v>
      </c>
      <c r="E42" s="4">
        <f>ABS(Таблица24[[#This Row],[Предсказанные значения]]-Таблица24[[#This Row],[Z]])</f>
        <v>3.5990964319989871</v>
      </c>
      <c r="F42" s="4">
        <f>ABS(Таблица24[[#This Row],[Остатки]]/Таблица24[[#This Row],[Z]])</f>
        <v>1.7995482159994936</v>
      </c>
      <c r="G42" s="18"/>
      <c r="H42" s="18"/>
    </row>
    <row r="43" spans="1:8" x14ac:dyDescent="0.25">
      <c r="A43">
        <v>318</v>
      </c>
      <c r="B43" s="4">
        <f t="shared" si="0"/>
        <v>3.1446540880503146E-3</v>
      </c>
      <c r="C43">
        <v>-4</v>
      </c>
      <c r="D43" s="4">
        <f>$H$2*Таблица24[[#This Row],[1/Y]]+$H$3</f>
        <v>-5.5417483959690124</v>
      </c>
      <c r="E43" s="4">
        <f>ABS(Таблица24[[#This Row],[Предсказанные значения]]-Таблица24[[#This Row],[Z]])</f>
        <v>1.5417483959690124</v>
      </c>
      <c r="F43" s="4">
        <f>ABS(Таблица24[[#This Row],[Остатки]]/Таблица24[[#This Row],[Z]])</f>
        <v>0.38543709899225309</v>
      </c>
      <c r="G43" s="18"/>
      <c r="H43" s="18"/>
    </row>
    <row r="44" spans="1:8" x14ac:dyDescent="0.25">
      <c r="A44">
        <v>369</v>
      </c>
      <c r="B44" s="4">
        <f t="shared" si="0"/>
        <v>2.7100271002710027E-3</v>
      </c>
      <c r="C44" s="13">
        <v>-10</v>
      </c>
      <c r="D44" s="4">
        <f>$H$2*Таблица24[[#This Row],[1/Y]]+$H$3</f>
        <v>-5.6365888962608031</v>
      </c>
      <c r="E44" s="4">
        <f>ABS(Таблица24[[#This Row],[Предсказанные значения]]-Таблица24[[#This Row],[Z]])</f>
        <v>4.3634111037391969</v>
      </c>
      <c r="F44" s="4">
        <f>ABS(Таблица24[[#This Row],[Остатки]]/Таблица24[[#This Row],[Z]])</f>
        <v>0.43634111037391971</v>
      </c>
    </row>
    <row r="45" spans="1:8" x14ac:dyDescent="0.25">
      <c r="A45">
        <v>400</v>
      </c>
      <c r="B45" s="4">
        <f t="shared" si="0"/>
        <v>2.5000000000000001E-3</v>
      </c>
      <c r="C45">
        <v>-10</v>
      </c>
      <c r="D45" s="4">
        <f>$H$2*Таблица24[[#This Row],[1/Y]]+$H$3</f>
        <v>-5.6824191733135709</v>
      </c>
      <c r="E45" s="4">
        <f>ABS(Таблица24[[#This Row],[Предсказанные значения]]-Таблица24[[#This Row],[Z]])</f>
        <v>4.3175808266864291</v>
      </c>
      <c r="F45" s="4">
        <f>ABS(Таблица24[[#This Row],[Остатки]]/Таблица24[[#This Row],[Z]])</f>
        <v>0.43175808266864291</v>
      </c>
    </row>
    <row r="46" spans="1:8" x14ac:dyDescent="0.25">
      <c r="A46">
        <v>277</v>
      </c>
      <c r="B46" s="4">
        <f t="shared" si="0"/>
        <v>3.6101083032490976E-3</v>
      </c>
      <c r="C46" s="13">
        <v>-9</v>
      </c>
      <c r="D46" s="4">
        <f>$H$2*Таблица24[[#This Row],[1/Y]]+$H$3</f>
        <v>-5.440181047705793</v>
      </c>
      <c r="E46" s="4">
        <f>ABS(Таблица24[[#This Row],[Предсказанные значения]]-Таблица24[[#This Row],[Z]])</f>
        <v>3.559818952294207</v>
      </c>
      <c r="F46" s="4">
        <f>ABS(Таблица24[[#This Row],[Остатки]]/Таблица24[[#This Row],[Z]])</f>
        <v>0.39553543914380079</v>
      </c>
    </row>
    <row r="47" spans="1:8" x14ac:dyDescent="0.25">
      <c r="A47">
        <v>395</v>
      </c>
      <c r="B47" s="4">
        <f t="shared" si="0"/>
        <v>2.5316455696202532E-3</v>
      </c>
      <c r="C47">
        <v>-10</v>
      </c>
      <c r="D47" s="4">
        <f>$H$2*Таблица24[[#This Row],[1/Y]]+$H$3</f>
        <v>-5.6755137538638074</v>
      </c>
      <c r="E47" s="4">
        <f>ABS(Таблица24[[#This Row],[Предсказанные значения]]-Таблица24[[#This Row],[Z]])</f>
        <v>4.3244862461361926</v>
      </c>
      <c r="F47" s="4">
        <f>ABS(Таблица24[[#This Row],[Остатки]]/Таблица24[[#This Row],[Z]])</f>
        <v>0.43244862461361927</v>
      </c>
    </row>
    <row r="48" spans="1:8" x14ac:dyDescent="0.25">
      <c r="A48">
        <v>392</v>
      </c>
      <c r="B48" s="4">
        <f t="shared" si="0"/>
        <v>2.5510204081632651E-3</v>
      </c>
      <c r="C48" s="13">
        <v>-10</v>
      </c>
      <c r="D48" s="4">
        <f>$H$2*Таблица24[[#This Row],[1/Y]]+$H$3</f>
        <v>-5.6712859460374219</v>
      </c>
      <c r="E48" s="4">
        <f>ABS(Таблица24[[#This Row],[Предсказанные значения]]-Таблица24[[#This Row],[Z]])</f>
        <v>4.3287140539625781</v>
      </c>
      <c r="F48" s="4">
        <f>ABS(Таблица24[[#This Row],[Остатки]]/Таблица24[[#This Row],[Z]])</f>
        <v>0.43287140539625779</v>
      </c>
    </row>
    <row r="49" spans="1:6" x14ac:dyDescent="0.25">
      <c r="A49">
        <v>245</v>
      </c>
      <c r="B49" s="4">
        <f t="shared" si="0"/>
        <v>4.0816326530612249E-3</v>
      </c>
      <c r="C49">
        <v>-7</v>
      </c>
      <c r="D49" s="4">
        <f>$H$2*Таблица24[[#This Row],[1/Y]]+$H$3</f>
        <v>-5.3372891277529293</v>
      </c>
      <c r="E49" s="4">
        <f>ABS(Таблица24[[#This Row],[Предсказанные значения]]-Таблица24[[#This Row],[Z]])</f>
        <v>1.6627108722470707</v>
      </c>
      <c r="F49" s="4">
        <f>ABS(Таблица24[[#This Row],[Остатки]]/Таблица24[[#This Row],[Z]])</f>
        <v>0.23753012460672437</v>
      </c>
    </row>
    <row r="50" spans="1:6" x14ac:dyDescent="0.25">
      <c r="A50">
        <v>445</v>
      </c>
      <c r="B50" s="4">
        <f t="shared" si="0"/>
        <v>2.2471910112359553E-3</v>
      </c>
      <c r="C50" s="13">
        <v>1</v>
      </c>
      <c r="D50" s="4">
        <f>$H$2*Таблица24[[#This Row],[1/Y]]+$H$3</f>
        <v>-5.7375849399290999</v>
      </c>
      <c r="E50" s="4">
        <f>ABS(Таблица24[[#This Row],[Предсказанные значения]]-Таблица24[[#This Row],[Z]])</f>
        <v>6.7375849399290999</v>
      </c>
      <c r="F50" s="4">
        <f>ABS(Таблица24[[#This Row],[Остатки]]/Таблица24[[#This Row],[Z]])</f>
        <v>6.7375849399290999</v>
      </c>
    </row>
    <row r="51" spans="1:6" x14ac:dyDescent="0.25">
      <c r="A51">
        <v>323</v>
      </c>
      <c r="B51" s="4">
        <f t="shared" si="0"/>
        <v>3.0959752321981426E-3</v>
      </c>
      <c r="C51">
        <v>2</v>
      </c>
      <c r="D51" s="4">
        <f>$H$2*Таблица24[[#This Row],[1/Y]]+$H$3</f>
        <v>-5.5523706701776181</v>
      </c>
      <c r="E51" s="4">
        <f>ABS(Таблица24[[#This Row],[Предсказанные значения]]-Таблица24[[#This Row],[Z]])</f>
        <v>7.5523706701776181</v>
      </c>
      <c r="F51" s="4">
        <f>ABS(Таблица24[[#This Row],[Остатки]]/Таблица24[[#This Row],[Z]])</f>
        <v>3.776185335088809</v>
      </c>
    </row>
    <row r="52" spans="1:6" x14ac:dyDescent="0.25">
      <c r="A52">
        <v>331</v>
      </c>
      <c r="B52" s="4">
        <f t="shared" si="0"/>
        <v>3.0211480362537764E-3</v>
      </c>
      <c r="C52" s="13">
        <v>-10</v>
      </c>
      <c r="D52" s="4">
        <f>$H$2*Таблица24[[#This Row],[1/Y]]+$H$3</f>
        <v>-5.5686988064837761</v>
      </c>
      <c r="E52" s="4">
        <f>ABS(Таблица24[[#This Row],[Предсказанные значения]]-Таблица24[[#This Row],[Z]])</f>
        <v>4.4313011935162239</v>
      </c>
      <c r="F52" s="4">
        <f>ABS(Таблица24[[#This Row],[Остатки]]/Таблица24[[#This Row],[Z]])</f>
        <v>0.44313011935162239</v>
      </c>
    </row>
    <row r="53" spans="1:6" x14ac:dyDescent="0.25">
      <c r="A53">
        <v>140</v>
      </c>
      <c r="B53" s="4">
        <f t="shared" si="0"/>
        <v>7.1428571428571426E-3</v>
      </c>
      <c r="C53">
        <v>-2</v>
      </c>
      <c r="D53" s="4">
        <f>$H$2*Таблица24[[#This Row],[1/Y]]+$H$3</f>
        <v>-4.669295491183945</v>
      </c>
      <c r="E53" s="4">
        <f>ABS(Таблица24[[#This Row],[Предсказанные значения]]-Таблица24[[#This Row],[Z]])</f>
        <v>2.669295491183945</v>
      </c>
      <c r="F53" s="4">
        <f>ABS(Таблица24[[#This Row],[Остатки]]/Таблица24[[#This Row],[Z]])</f>
        <v>1.3346477455919725</v>
      </c>
    </row>
    <row r="54" spans="1:6" x14ac:dyDescent="0.25">
      <c r="A54">
        <v>303</v>
      </c>
      <c r="B54" s="4">
        <f t="shared" si="0"/>
        <v>3.3003300330033004E-3</v>
      </c>
      <c r="C54" s="13">
        <v>-6</v>
      </c>
      <c r="D54" s="4">
        <f>$H$2*Таблица24[[#This Row],[1/Y]]+$H$3</f>
        <v>-5.5077781527078296</v>
      </c>
      <c r="E54" s="4">
        <f>ABS(Таблица24[[#This Row],[Предсказанные значения]]-Таблица24[[#This Row],[Z]])</f>
        <v>0.49222184729217044</v>
      </c>
      <c r="F54" s="4">
        <f>ABS(Таблица24[[#This Row],[Остатки]]/Таблица24[[#This Row],[Z]])</f>
        <v>8.2036974548695074E-2</v>
      </c>
    </row>
    <row r="55" spans="1:6" x14ac:dyDescent="0.25">
      <c r="A55">
        <v>247</v>
      </c>
      <c r="B55" s="4">
        <f t="shared" si="0"/>
        <v>4.048582995951417E-3</v>
      </c>
      <c r="C55">
        <v>-7</v>
      </c>
      <c r="D55" s="4">
        <f>$H$2*Таблица24[[#This Row],[1/Y]]+$H$3</f>
        <v>-5.3445009348953745</v>
      </c>
      <c r="E55" s="4">
        <f>ABS(Таблица24[[#This Row],[Предсказанные значения]]-Таблица24[[#This Row],[Z]])</f>
        <v>1.6554990651046255</v>
      </c>
      <c r="F55" s="4">
        <f>ABS(Таблица24[[#This Row],[Остатки]]/Таблица24[[#This Row],[Z]])</f>
        <v>0.23649986644351792</v>
      </c>
    </row>
    <row r="56" spans="1:6" x14ac:dyDescent="0.25">
      <c r="A56">
        <v>387</v>
      </c>
      <c r="B56" s="4">
        <f t="shared" si="0"/>
        <v>2.5839793281653748E-3</v>
      </c>
      <c r="C56" s="13">
        <v>-3</v>
      </c>
      <c r="D56" s="4">
        <f>$H$2*Таблица24[[#This Row],[1/Y]]+$H$3</f>
        <v>-5.6640939387530871</v>
      </c>
      <c r="E56" s="4">
        <f>ABS(Таблица24[[#This Row],[Предсказанные значения]]-Таблица24[[#This Row],[Z]])</f>
        <v>2.6640939387530871</v>
      </c>
      <c r="F56" s="4">
        <f>ABS(Таблица24[[#This Row],[Остатки]]/Таблица24[[#This Row],[Z]])</f>
        <v>0.88803131291769566</v>
      </c>
    </row>
    <row r="57" spans="1:6" x14ac:dyDescent="0.25">
      <c r="A57">
        <v>426</v>
      </c>
      <c r="B57" s="4">
        <f t="shared" si="0"/>
        <v>2.3474178403755869E-3</v>
      </c>
      <c r="C57">
        <v>-7</v>
      </c>
      <c r="D57" s="4">
        <f>$H$2*Таблица24[[#This Row],[1/Y]]+$H$3</f>
        <v>-5.7157143177967047</v>
      </c>
      <c r="E57" s="4">
        <f>ABS(Таблица24[[#This Row],[Предсказанные значения]]-Таблица24[[#This Row],[Z]])</f>
        <v>1.2842856822032953</v>
      </c>
      <c r="F57" s="4">
        <f>ABS(Таблица24[[#This Row],[Остатки]]/Таблица24[[#This Row],[Z]])</f>
        <v>0.18346938317189934</v>
      </c>
    </row>
    <row r="58" spans="1:6" x14ac:dyDescent="0.25">
      <c r="A58">
        <v>304</v>
      </c>
      <c r="B58" s="4">
        <f t="shared" si="0"/>
        <v>3.2894736842105261E-3</v>
      </c>
      <c r="C58" s="13">
        <v>-6</v>
      </c>
      <c r="D58" s="4">
        <f>$H$2*Таблица24[[#This Row],[1/Y]]+$H$3</f>
        <v>-5.510147130198412</v>
      </c>
      <c r="E58" s="4">
        <f>ABS(Таблица24[[#This Row],[Предсказанные значения]]-Таблица24[[#This Row],[Z]])</f>
        <v>0.48985286980158804</v>
      </c>
      <c r="F58" s="4">
        <f>ABS(Таблица24[[#This Row],[Остатки]]/Таблица24[[#This Row],[Z]])</f>
        <v>8.164214496693134E-2</v>
      </c>
    </row>
    <row r="59" spans="1:6" x14ac:dyDescent="0.25">
      <c r="A59">
        <v>257</v>
      </c>
      <c r="B59" s="4">
        <f t="shared" si="0"/>
        <v>3.8910505836575876E-3</v>
      </c>
      <c r="C59">
        <v>-9</v>
      </c>
      <c r="D59" s="4">
        <f>$H$2*Таблица24[[#This Row],[1/Y]]+$H$3</f>
        <v>-5.3788762802241505</v>
      </c>
      <c r="E59" s="4">
        <f>ABS(Таблица24[[#This Row],[Предсказанные значения]]-Таблица24[[#This Row],[Z]])</f>
        <v>3.6211237197758495</v>
      </c>
      <c r="F59" s="4">
        <f>ABS(Таблица24[[#This Row],[Остатки]]/Таблица24[[#This Row],[Z]])</f>
        <v>0.40234707997509439</v>
      </c>
    </row>
    <row r="60" spans="1:6" x14ac:dyDescent="0.25">
      <c r="A60">
        <v>377</v>
      </c>
      <c r="B60" s="4">
        <f t="shared" si="0"/>
        <v>2.6525198938992041E-3</v>
      </c>
      <c r="C60" s="13">
        <v>-5</v>
      </c>
      <c r="D60" s="4">
        <f>$H$2*Таблица24[[#This Row],[1/Y]]+$H$3</f>
        <v>-5.6491376159124549</v>
      </c>
      <c r="E60" s="4">
        <f>ABS(Таблица24[[#This Row],[Предсказанные значения]]-Таблица24[[#This Row],[Z]])</f>
        <v>0.64913761591245489</v>
      </c>
      <c r="F60" s="4">
        <f>ABS(Таблица24[[#This Row],[Остатки]]/Таблица24[[#This Row],[Z]])</f>
        <v>0.12982752318249097</v>
      </c>
    </row>
    <row r="61" spans="1:6" x14ac:dyDescent="0.25">
      <c r="A61">
        <v>535</v>
      </c>
      <c r="B61" s="4">
        <f t="shared" si="0"/>
        <v>1.869158878504673E-3</v>
      </c>
      <c r="C61">
        <v>-1</v>
      </c>
      <c r="D61" s="4">
        <f>$H$2*Таблица24[[#This Row],[1/Y]]+$H$3</f>
        <v>-5.820075805896245</v>
      </c>
      <c r="E61" s="4">
        <f>ABS(Таблица24[[#This Row],[Предсказанные значения]]-Таблица24[[#This Row],[Z]])</f>
        <v>4.820075805896245</v>
      </c>
      <c r="F61" s="4">
        <f>ABS(Таблица24[[#This Row],[Остатки]]/Таблица24[[#This Row],[Z]])</f>
        <v>4.820075805896245</v>
      </c>
    </row>
    <row r="62" spans="1:6" x14ac:dyDescent="0.25">
      <c r="A62">
        <v>208</v>
      </c>
      <c r="B62" s="4">
        <f t="shared" si="0"/>
        <v>4.807692307692308E-3</v>
      </c>
      <c r="C62" s="13">
        <v>-5</v>
      </c>
      <c r="D62" s="4">
        <f>$H$2*Таблица24[[#This Row],[1/Y]]+$H$3</f>
        <v>-5.178854739592337</v>
      </c>
      <c r="E62" s="4">
        <f>ABS(Таблица24[[#This Row],[Предсказанные значения]]-Таблица24[[#This Row],[Z]])</f>
        <v>0.178854739592337</v>
      </c>
      <c r="F62" s="4">
        <f>ABS(Таблица24[[#This Row],[Остатки]]/Таблица24[[#This Row],[Z]])</f>
        <v>3.5770947918467397E-2</v>
      </c>
    </row>
    <row r="63" spans="1:6" x14ac:dyDescent="0.25">
      <c r="A63">
        <v>357</v>
      </c>
      <c r="B63" s="4">
        <f t="shared" si="0"/>
        <v>2.8011204481792717E-3</v>
      </c>
      <c r="C63">
        <v>-4</v>
      </c>
      <c r="D63" s="4">
        <f>$H$2*Таблица24[[#This Row],[1/Y]]+$H$3</f>
        <v>-5.616711302526884</v>
      </c>
      <c r="E63" s="4">
        <f>ABS(Таблица24[[#This Row],[Предсказанные значения]]-Таблица24[[#This Row],[Z]])</f>
        <v>1.616711302526884</v>
      </c>
      <c r="F63" s="4">
        <f>ABS(Таблица24[[#This Row],[Остатки]]/Таблица24[[#This Row],[Z]])</f>
        <v>0.404177825631721</v>
      </c>
    </row>
    <row r="64" spans="1:6" x14ac:dyDescent="0.25">
      <c r="A64">
        <v>337</v>
      </c>
      <c r="B64" s="4">
        <f t="shared" si="0"/>
        <v>2.967359050445104E-3</v>
      </c>
      <c r="C64" s="13">
        <v>-3</v>
      </c>
      <c r="D64" s="4">
        <f>$H$2*Таблица24[[#This Row],[1/Y]]+$H$3</f>
        <v>-5.5804361685614223</v>
      </c>
      <c r="E64" s="4">
        <f>ABS(Таблица24[[#This Row],[Предсказанные значения]]-Таблица24[[#This Row],[Z]])</f>
        <v>2.5804361685614223</v>
      </c>
      <c r="F64" s="4">
        <f>ABS(Таблица24[[#This Row],[Остатки]]/Таблица24[[#This Row],[Z]])</f>
        <v>0.86014538952047415</v>
      </c>
    </row>
    <row r="65" spans="1:6" x14ac:dyDescent="0.25">
      <c r="A65">
        <v>447</v>
      </c>
      <c r="B65" s="4">
        <f t="shared" si="0"/>
        <v>2.2371364653243847E-3</v>
      </c>
      <c r="C65">
        <v>-2</v>
      </c>
      <c r="D65" s="4">
        <f>$H$2*Таблица24[[#This Row],[1/Y]]+$H$3</f>
        <v>-5.7397789550070231</v>
      </c>
      <c r="E65" s="4">
        <f>ABS(Таблица24[[#This Row],[Предсказанные значения]]-Таблица24[[#This Row],[Z]])</f>
        <v>3.7397789550070231</v>
      </c>
      <c r="F65" s="4">
        <f>ABS(Таблица24[[#This Row],[Остатки]]/Таблица24[[#This Row],[Z]])</f>
        <v>1.8698894775035115</v>
      </c>
    </row>
    <row r="66" spans="1:6" x14ac:dyDescent="0.25">
      <c r="A66">
        <v>238</v>
      </c>
      <c r="B66" s="4">
        <f t="shared" si="0"/>
        <v>4.2016806722689074E-3</v>
      </c>
      <c r="C66" s="13">
        <v>-7</v>
      </c>
      <c r="D66" s="4">
        <f>$H$2*Таблица24[[#This Row],[1/Y]]+$H$3</f>
        <v>-5.3110932988678714</v>
      </c>
      <c r="E66" s="4">
        <f>ABS(Таблица24[[#This Row],[Предсказанные значения]]-Таблица24[[#This Row],[Z]])</f>
        <v>1.6889067011321286</v>
      </c>
      <c r="F66" s="4">
        <f>ABS(Таблица24[[#This Row],[Остатки]]/Таблица24[[#This Row],[Z]])</f>
        <v>0.24127238587601837</v>
      </c>
    </row>
    <row r="67" spans="1:6" x14ac:dyDescent="0.25">
      <c r="A67">
        <v>182</v>
      </c>
      <c r="B67" s="4">
        <f t="shared" ref="B67:B91" si="1">1/A67</f>
        <v>5.4945054945054949E-3</v>
      </c>
      <c r="C67">
        <v>-3</v>
      </c>
      <c r="D67" s="4">
        <f>$H$2*Таблица24[[#This Row],[1/Y]]+$H$3</f>
        <v>-5.0289843724133982</v>
      </c>
      <c r="E67" s="4">
        <f>ABS(Таблица24[[#This Row],[Предсказанные значения]]-Таблица24[[#This Row],[Z]])</f>
        <v>2.0289843724133982</v>
      </c>
      <c r="F67" s="4">
        <f>ABS(Таблица24[[#This Row],[Остатки]]/Таблица24[[#This Row],[Z]])</f>
        <v>0.67632812413779941</v>
      </c>
    </row>
    <row r="68" spans="1:6" x14ac:dyDescent="0.25">
      <c r="A68">
        <v>437</v>
      </c>
      <c r="B68" s="4">
        <f t="shared" si="1"/>
        <v>2.2883295194508009E-3</v>
      </c>
      <c r="C68" s="13">
        <v>-9</v>
      </c>
      <c r="D68" s="4">
        <f>$H$2*Таблица24[[#This Row],[1/Y]]+$H$3</f>
        <v>-5.7286080544386504</v>
      </c>
      <c r="E68" s="4">
        <f>ABS(Таблица24[[#This Row],[Предсказанные значения]]-Таблица24[[#This Row],[Z]])</f>
        <v>3.2713919455613496</v>
      </c>
      <c r="F68" s="4">
        <f>ABS(Таблица24[[#This Row],[Остатки]]/Таблица24[[#This Row],[Z]])</f>
        <v>0.36348799395126108</v>
      </c>
    </row>
    <row r="69" spans="1:6" x14ac:dyDescent="0.25">
      <c r="A69">
        <v>292</v>
      </c>
      <c r="B69" s="4">
        <f t="shared" si="1"/>
        <v>3.4246575342465752E-3</v>
      </c>
      <c r="C69">
        <v>-10</v>
      </c>
      <c r="D69" s="4">
        <f>$H$2*Таблица24[[#This Row],[1/Y]]+$H$3</f>
        <v>-5.4806484926786929</v>
      </c>
      <c r="E69" s="4">
        <f>ABS(Таблица24[[#This Row],[Предсказанные значения]]-Таблица24[[#This Row],[Z]])</f>
        <v>4.5193515073213071</v>
      </c>
      <c r="F69" s="4">
        <f>ABS(Таблица24[[#This Row],[Остатки]]/Таблица24[[#This Row],[Z]])</f>
        <v>0.4519351507321307</v>
      </c>
    </row>
    <row r="70" spans="1:6" x14ac:dyDescent="0.25">
      <c r="A70">
        <v>473</v>
      </c>
      <c r="B70" s="4">
        <f t="shared" si="1"/>
        <v>2.1141649048625794E-3</v>
      </c>
      <c r="C70" s="13">
        <v>-8</v>
      </c>
      <c r="D70" s="4">
        <f>$H$2*Таблица24[[#This Row],[1/Y]]+$H$3</f>
        <v>-5.7666127334970545</v>
      </c>
      <c r="E70" s="4">
        <f>ABS(Таблица24[[#This Row],[Предсказанные значения]]-Таблица24[[#This Row],[Z]])</f>
        <v>2.2333872665029455</v>
      </c>
      <c r="F70" s="4">
        <f>ABS(Таблица24[[#This Row],[Остатки]]/Таблица24[[#This Row],[Z]])</f>
        <v>0.27917340831286819</v>
      </c>
    </row>
    <row r="71" spans="1:6" x14ac:dyDescent="0.25">
      <c r="A71">
        <v>392</v>
      </c>
      <c r="B71" s="4">
        <f t="shared" si="1"/>
        <v>2.5510204081632651E-3</v>
      </c>
      <c r="C71">
        <v>-1</v>
      </c>
      <c r="D71" s="4">
        <f>$H$2*Таблица24[[#This Row],[1/Y]]+$H$3</f>
        <v>-5.6712859460374219</v>
      </c>
      <c r="E71" s="4">
        <f>ABS(Таблица24[[#This Row],[Предсказанные значения]]-Таблица24[[#This Row],[Z]])</f>
        <v>4.6712859460374219</v>
      </c>
      <c r="F71" s="4">
        <f>ABS(Таблица24[[#This Row],[Остатки]]/Таблица24[[#This Row],[Z]])</f>
        <v>4.6712859460374219</v>
      </c>
    </row>
    <row r="72" spans="1:6" x14ac:dyDescent="0.25">
      <c r="A72">
        <v>442</v>
      </c>
      <c r="B72" s="4">
        <f t="shared" si="1"/>
        <v>2.2624434389140274E-3</v>
      </c>
      <c r="C72" s="13">
        <v>-2</v>
      </c>
      <c r="D72" s="4">
        <f>$H$2*Таблица24[[#This Row],[1/Y]]+$H$3</f>
        <v>-5.7342566885495803</v>
      </c>
      <c r="E72" s="4">
        <f>ABS(Таблица24[[#This Row],[Предсказанные значения]]-Таблица24[[#This Row],[Z]])</f>
        <v>3.7342566885495803</v>
      </c>
      <c r="F72" s="4">
        <f>ABS(Таблица24[[#This Row],[Остатки]]/Таблица24[[#This Row],[Z]])</f>
        <v>1.8671283442747901</v>
      </c>
    </row>
    <row r="73" spans="1:6" x14ac:dyDescent="0.25">
      <c r="A73">
        <v>356</v>
      </c>
      <c r="B73" s="4">
        <f t="shared" si="1"/>
        <v>2.8089887640449437E-3</v>
      </c>
      <c r="C73">
        <v>-7</v>
      </c>
      <c r="D73" s="4">
        <f>$H$2*Таблица24[[#This Row],[1/Y]]+$H$3</f>
        <v>-5.614994347450148</v>
      </c>
      <c r="E73" s="4">
        <f>ABS(Таблица24[[#This Row],[Предсказанные значения]]-Таблица24[[#This Row],[Z]])</f>
        <v>1.385005652549852</v>
      </c>
      <c r="F73" s="4">
        <f>ABS(Таблица24[[#This Row],[Остатки]]/Таблица24[[#This Row],[Z]])</f>
        <v>0.19785795036426457</v>
      </c>
    </row>
    <row r="74" spans="1:6" x14ac:dyDescent="0.25">
      <c r="A74">
        <v>386</v>
      </c>
      <c r="B74" s="4">
        <f t="shared" si="1"/>
        <v>2.5906735751295338E-3</v>
      </c>
      <c r="C74" s="13">
        <v>-3</v>
      </c>
      <c r="D74" s="4">
        <f>$H$2*Таблица24[[#This Row],[1/Y]]+$H$3</f>
        <v>-5.6626331787243522</v>
      </c>
      <c r="E74" s="4">
        <f>ABS(Таблица24[[#This Row],[Предсказанные значения]]-Таблица24[[#This Row],[Z]])</f>
        <v>2.6626331787243522</v>
      </c>
      <c r="F74" s="4">
        <f>ABS(Таблица24[[#This Row],[Остатки]]/Таблица24[[#This Row],[Z]])</f>
        <v>0.88754439290811737</v>
      </c>
    </row>
    <row r="75" spans="1:6" x14ac:dyDescent="0.25">
      <c r="A75">
        <v>338</v>
      </c>
      <c r="B75" s="4">
        <f t="shared" si="1"/>
        <v>2.9585798816568047E-3</v>
      </c>
      <c r="C75">
        <v>-5</v>
      </c>
      <c r="D75" s="4">
        <f>$H$2*Таблица24[[#This Row],[1/Y]]+$H$3</f>
        <v>-5.5823518819971722</v>
      </c>
      <c r="E75" s="4">
        <f>ABS(Таблица24[[#This Row],[Предсказанные значения]]-Таблица24[[#This Row],[Z]])</f>
        <v>0.58235188199717225</v>
      </c>
      <c r="F75" s="4">
        <f>ABS(Таблица24[[#This Row],[Остатки]]/Таблица24[[#This Row],[Z]])</f>
        <v>0.11647037639943444</v>
      </c>
    </row>
    <row r="76" spans="1:6" x14ac:dyDescent="0.25">
      <c r="A76">
        <v>277</v>
      </c>
      <c r="B76" s="4">
        <f t="shared" si="1"/>
        <v>3.6101083032490976E-3</v>
      </c>
      <c r="C76" s="13">
        <v>-4</v>
      </c>
      <c r="D76" s="4">
        <f>$H$2*Таблица24[[#This Row],[1/Y]]+$H$3</f>
        <v>-5.440181047705793</v>
      </c>
      <c r="E76" s="4">
        <f>ABS(Таблица24[[#This Row],[Предсказанные значения]]-Таблица24[[#This Row],[Z]])</f>
        <v>1.440181047705793</v>
      </c>
      <c r="F76" s="4">
        <f>ABS(Таблица24[[#This Row],[Остатки]]/Таблица24[[#This Row],[Z]])</f>
        <v>0.36004526192644826</v>
      </c>
    </row>
    <row r="77" spans="1:6" x14ac:dyDescent="0.25">
      <c r="A77">
        <v>247</v>
      </c>
      <c r="B77" s="4">
        <f t="shared" si="1"/>
        <v>4.048582995951417E-3</v>
      </c>
      <c r="C77">
        <v>-4</v>
      </c>
      <c r="D77" s="4">
        <f>$H$2*Таблица24[[#This Row],[1/Y]]+$H$3</f>
        <v>-5.3445009348953745</v>
      </c>
      <c r="E77" s="4">
        <f>ABS(Таблица24[[#This Row],[Предсказанные значения]]-Таблица24[[#This Row],[Z]])</f>
        <v>1.3445009348953745</v>
      </c>
      <c r="F77" s="4">
        <f>ABS(Таблица24[[#This Row],[Остатки]]/Таблица24[[#This Row],[Z]])</f>
        <v>0.33612523372384362</v>
      </c>
    </row>
    <row r="78" spans="1:6" x14ac:dyDescent="0.25">
      <c r="A78">
        <v>170</v>
      </c>
      <c r="B78" s="4">
        <f t="shared" si="1"/>
        <v>5.8823529411764705E-3</v>
      </c>
      <c r="C78" s="13">
        <v>-5</v>
      </c>
      <c r="D78" s="4">
        <f>$H$2*Таблица24[[#This Row],[1/Y]]+$H$3</f>
        <v>-4.9443516944770565</v>
      </c>
      <c r="E78" s="4">
        <f>ABS(Таблица24[[#This Row],[Предсказанные значения]]-Таблица24[[#This Row],[Z]])</f>
        <v>5.5648305522943531E-2</v>
      </c>
      <c r="F78" s="4">
        <f>ABS(Таблица24[[#This Row],[Остатки]]/Таблица24[[#This Row],[Z]])</f>
        <v>1.1129661104588707E-2</v>
      </c>
    </row>
    <row r="79" spans="1:6" x14ac:dyDescent="0.25">
      <c r="A79">
        <v>380</v>
      </c>
      <c r="B79" s="4">
        <f t="shared" si="1"/>
        <v>2.631578947368421E-3</v>
      </c>
      <c r="C79">
        <v>-7</v>
      </c>
      <c r="D79" s="4">
        <f>$H$2*Таблица24[[#This Row],[1/Y]]+$H$3</f>
        <v>-5.6537071661277114</v>
      </c>
      <c r="E79" s="4">
        <f>ABS(Таблица24[[#This Row],[Предсказанные значения]]-Таблица24[[#This Row],[Z]])</f>
        <v>1.3462928338722886</v>
      </c>
      <c r="F79" s="4">
        <f>ABS(Таблица24[[#This Row],[Остатки]]/Таблица24[[#This Row],[Z]])</f>
        <v>0.19232754769604124</v>
      </c>
    </row>
    <row r="80" spans="1:6" x14ac:dyDescent="0.25">
      <c r="A80">
        <v>221</v>
      </c>
      <c r="B80" s="4">
        <f t="shared" si="1"/>
        <v>4.5248868778280547E-3</v>
      </c>
      <c r="C80" s="13">
        <v>-8</v>
      </c>
      <c r="D80" s="4">
        <f>$H$2*Таблица24[[#This Row],[1/Y]]+$H$3</f>
        <v>-5.2405660672542531</v>
      </c>
      <c r="E80" s="4">
        <f>ABS(Таблица24[[#This Row],[Предсказанные значения]]-Таблица24[[#This Row],[Z]])</f>
        <v>2.7594339327457469</v>
      </c>
      <c r="F80" s="4">
        <f>ABS(Таблица24[[#This Row],[Остатки]]/Таблица24[[#This Row],[Z]])</f>
        <v>0.34492924159321836</v>
      </c>
    </row>
    <row r="81" spans="1:6" x14ac:dyDescent="0.25">
      <c r="A81">
        <v>287</v>
      </c>
      <c r="B81" s="4">
        <f t="shared" si="1"/>
        <v>3.4843205574912892E-3</v>
      </c>
      <c r="C81">
        <v>-10</v>
      </c>
      <c r="D81" s="4">
        <f>$H$2*Таблица24[[#This Row],[1/Y]]+$H$3</f>
        <v>-5.467629349522487</v>
      </c>
      <c r="E81" s="4">
        <f>ABS(Таблица24[[#This Row],[Предсказанные значения]]-Таблица24[[#This Row],[Z]])</f>
        <v>4.532370650477513</v>
      </c>
      <c r="F81" s="4">
        <f>ABS(Таблица24[[#This Row],[Остатки]]/Таблица24[[#This Row],[Z]])</f>
        <v>0.4532370650477513</v>
      </c>
    </row>
    <row r="82" spans="1:6" x14ac:dyDescent="0.25">
      <c r="A82">
        <v>244</v>
      </c>
      <c r="B82" s="4">
        <f t="shared" si="1"/>
        <v>4.0983606557377051E-3</v>
      </c>
      <c r="C82" s="13">
        <v>-5</v>
      </c>
      <c r="D82" s="4">
        <f>$H$2*Таблица24[[#This Row],[1/Y]]+$H$3</f>
        <v>-5.3336388893017332</v>
      </c>
      <c r="E82" s="4">
        <f>ABS(Таблица24[[#This Row],[Предсказанные значения]]-Таблица24[[#This Row],[Z]])</f>
        <v>0.33363888930173324</v>
      </c>
      <c r="F82" s="4">
        <f>ABS(Таблица24[[#This Row],[Остатки]]/Таблица24[[#This Row],[Z]])</f>
        <v>6.6727777860346643E-2</v>
      </c>
    </row>
    <row r="83" spans="1:6" x14ac:dyDescent="0.25">
      <c r="A83">
        <v>313</v>
      </c>
      <c r="B83" s="4">
        <f t="shared" si="1"/>
        <v>3.1948881789137379E-3</v>
      </c>
      <c r="C83">
        <v>-6</v>
      </c>
      <c r="D83" s="4">
        <f>$H$2*Таблица24[[#This Row],[1/Y]]+$H$3</f>
        <v>-5.5307867519773852</v>
      </c>
      <c r="E83" s="4">
        <f>ABS(Таблица24[[#This Row],[Предсказанные значения]]-Таблица24[[#This Row],[Z]])</f>
        <v>0.46921324802261477</v>
      </c>
      <c r="F83" s="4">
        <f>ABS(Таблица24[[#This Row],[Остатки]]/Таблица24[[#This Row],[Z]])</f>
        <v>7.8202208003769133E-2</v>
      </c>
    </row>
    <row r="84" spans="1:6" x14ac:dyDescent="0.25">
      <c r="A84">
        <v>219</v>
      </c>
      <c r="B84" s="4">
        <f t="shared" si="1"/>
        <v>4.5662100456621002E-3</v>
      </c>
      <c r="C84" s="13">
        <v>-5</v>
      </c>
      <c r="D84" s="4">
        <f>$H$2*Таблица24[[#This Row],[1/Y]]+$H$3</f>
        <v>-5.231548886956622</v>
      </c>
      <c r="E84" s="4">
        <f>ABS(Таблица24[[#This Row],[Предсказанные значения]]-Таблица24[[#This Row],[Z]])</f>
        <v>0.23154888695662201</v>
      </c>
      <c r="F84" s="4">
        <f>ABS(Таблица24[[#This Row],[Остатки]]/Таблица24[[#This Row],[Z]])</f>
        <v>4.63097773913244E-2</v>
      </c>
    </row>
    <row r="85" spans="1:6" x14ac:dyDescent="0.25">
      <c r="A85">
        <v>392</v>
      </c>
      <c r="B85" s="4">
        <f t="shared" si="1"/>
        <v>2.5510204081632651E-3</v>
      </c>
      <c r="C85">
        <v>-5</v>
      </c>
      <c r="D85" s="4">
        <f>$H$2*Таблица24[[#This Row],[1/Y]]+$H$3</f>
        <v>-5.6712859460374219</v>
      </c>
      <c r="E85" s="4">
        <f>ABS(Таблица24[[#This Row],[Предсказанные значения]]-Таблица24[[#This Row],[Z]])</f>
        <v>0.67128594603742187</v>
      </c>
      <c r="F85" s="4">
        <f>ABS(Таблица24[[#This Row],[Остатки]]/Таблица24[[#This Row],[Z]])</f>
        <v>0.13425718920748436</v>
      </c>
    </row>
    <row r="86" spans="1:6" x14ac:dyDescent="0.25">
      <c r="A86">
        <v>415</v>
      </c>
      <c r="B86" s="4">
        <f t="shared" si="1"/>
        <v>2.4096385542168677E-3</v>
      </c>
      <c r="C86" s="13">
        <v>-4</v>
      </c>
      <c r="D86" s="4">
        <f>$H$2*Таблица24[[#This Row],[1/Y]]+$H$3</f>
        <v>-5.7021370577665111</v>
      </c>
      <c r="E86" s="4">
        <f>ABS(Таблица24[[#This Row],[Предсказанные значения]]-Таблица24[[#This Row],[Z]])</f>
        <v>1.7021370577665111</v>
      </c>
      <c r="F86" s="4">
        <f>ABS(Таблица24[[#This Row],[Остатки]]/Таблица24[[#This Row],[Z]])</f>
        <v>0.42553426444162779</v>
      </c>
    </row>
    <row r="87" spans="1:6" x14ac:dyDescent="0.25">
      <c r="A87">
        <v>341</v>
      </c>
      <c r="B87" s="4">
        <f t="shared" si="1"/>
        <v>2.9325513196480938E-3</v>
      </c>
      <c r="C87">
        <v>-8</v>
      </c>
      <c r="D87" s="4">
        <f>$H$2*Таблица24[[#This Row],[1/Y]]+$H$3</f>
        <v>-5.5880316071688529</v>
      </c>
      <c r="E87" s="4">
        <f>ABS(Таблица24[[#This Row],[Предсказанные значения]]-Таблица24[[#This Row],[Z]])</f>
        <v>2.4119683928311471</v>
      </c>
      <c r="F87" s="4">
        <f>ABS(Таблица24[[#This Row],[Остатки]]/Таблица24[[#This Row],[Z]])</f>
        <v>0.30149604910389338</v>
      </c>
    </row>
    <row r="88" spans="1:6" x14ac:dyDescent="0.25">
      <c r="A88">
        <v>321</v>
      </c>
      <c r="B88" s="4">
        <f t="shared" si="1"/>
        <v>3.1152647975077881E-3</v>
      </c>
      <c r="C88" s="13">
        <v>-6</v>
      </c>
      <c r="D88" s="4">
        <f>$H$2*Таблица24[[#This Row],[1/Y]]+$H$3</f>
        <v>-5.54816146993047</v>
      </c>
      <c r="E88" s="4">
        <f>ABS(Таблица24[[#This Row],[Предсказанные значения]]-Таблица24[[#This Row],[Z]])</f>
        <v>0.45183853006953001</v>
      </c>
      <c r="F88" s="4">
        <f>ABS(Таблица24[[#This Row],[Остатки]]/Таблица24[[#This Row],[Z]])</f>
        <v>7.5306421678255006E-2</v>
      </c>
    </row>
    <row r="89" spans="1:6" x14ac:dyDescent="0.25">
      <c r="A89">
        <v>255</v>
      </c>
      <c r="B89" s="4">
        <f t="shared" si="1"/>
        <v>3.9215686274509803E-3</v>
      </c>
      <c r="C89">
        <v>-7</v>
      </c>
      <c r="D89" s="4">
        <f>$H$2*Таблица24[[#This Row],[1/Y]]+$H$3</f>
        <v>-5.3722168995996737</v>
      </c>
      <c r="E89" s="4">
        <f>ABS(Таблица24[[#This Row],[Предсказанные значения]]-Таблица24[[#This Row],[Z]])</f>
        <v>1.6277831004003263</v>
      </c>
      <c r="F89" s="4">
        <f>ABS(Таблица24[[#This Row],[Остатки]]/Таблица24[[#This Row],[Z]])</f>
        <v>0.23254044291433232</v>
      </c>
    </row>
    <row r="90" spans="1:6" x14ac:dyDescent="0.25">
      <c r="A90">
        <v>206</v>
      </c>
      <c r="B90" s="4">
        <f t="shared" si="1"/>
        <v>4.8543689320388345E-3</v>
      </c>
      <c r="C90" s="13">
        <v>-1</v>
      </c>
      <c r="D90" s="4">
        <f>$H$2*Таблица24[[#This Row],[1/Y]]+$H$3</f>
        <v>-5.1686693748326036</v>
      </c>
      <c r="E90" s="4">
        <f>ABS(Таблица24[[#This Row],[Предсказанные значения]]-Таблица24[[#This Row],[Z]])</f>
        <v>4.1686693748326036</v>
      </c>
      <c r="F90" s="4">
        <f>ABS(Таблица24[[#This Row],[Остатки]]/Таблица24[[#This Row],[Z]])</f>
        <v>4.1686693748326036</v>
      </c>
    </row>
    <row r="91" spans="1:6" x14ac:dyDescent="0.25">
      <c r="A91">
        <v>324</v>
      </c>
      <c r="B91" s="4">
        <f t="shared" si="1"/>
        <v>3.0864197530864196E-3</v>
      </c>
      <c r="C91" s="14">
        <v>-10</v>
      </c>
      <c r="D91" s="4">
        <f>$H$2*Таблица24[[#This Row],[1/Y]]+$H$3</f>
        <v>-5.5544557832630108</v>
      </c>
      <c r="E91" s="4">
        <f>ABS(Таблица24[[#This Row],[Предсказанные значения]]-Таблица24[[#This Row],[Z]])</f>
        <v>4.4455442167369892</v>
      </c>
      <c r="F91" s="4">
        <f>ABS(Таблица24[[#This Row],[Остатки]]/Таблица24[[#This Row],[Z]])</f>
        <v>0.44455442167369891</v>
      </c>
    </row>
  </sheetData>
  <mergeCells count="1">
    <mergeCell ref="G40:H43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1C0E-7174-4D50-8B7D-67850D46B111}">
  <dimension ref="A1:I114"/>
  <sheetViews>
    <sheetView tabSelected="1" topLeftCell="A7" workbookViewId="0">
      <selection activeCell="O30" sqref="O30"/>
    </sheetView>
  </sheetViews>
  <sheetFormatPr defaultRowHeight="15" x14ac:dyDescent="0.25"/>
  <cols>
    <col min="1" max="1" width="26.28515625" bestFit="1" customWidth="1"/>
    <col min="2" max="2" width="17.140625" bestFit="1" customWidth="1"/>
    <col min="3" max="3" width="23.28515625" bestFit="1" customWidth="1"/>
    <col min="4" max="4" width="25" bestFit="1" customWidth="1"/>
    <col min="5" max="5" width="12" bestFit="1" customWidth="1"/>
    <col min="6" max="6" width="14.7109375" bestFit="1" customWidth="1"/>
    <col min="7" max="7" width="13.140625" bestFit="1" customWidth="1"/>
    <col min="8" max="8" width="14.7109375" bestFit="1" customWidth="1"/>
    <col min="9" max="9" width="14.85546875" bestFit="1" customWidth="1"/>
  </cols>
  <sheetData>
    <row r="1" spans="1:9" x14ac:dyDescent="0.25">
      <c r="A1" t="s">
        <v>7</v>
      </c>
    </row>
    <row r="2" spans="1:9" ht="15.75" thickBot="1" x14ac:dyDescent="0.3"/>
    <row r="3" spans="1:9" x14ac:dyDescent="0.25">
      <c r="A3" s="3" t="s">
        <v>8</v>
      </c>
      <c r="B3" s="3"/>
    </row>
    <row r="4" spans="1:9" x14ac:dyDescent="0.25">
      <c r="A4" t="s">
        <v>9</v>
      </c>
      <c r="B4" s="4">
        <v>6.9804530672591875E-2</v>
      </c>
    </row>
    <row r="5" spans="1:9" x14ac:dyDescent="0.25">
      <c r="A5" t="s">
        <v>10</v>
      </c>
      <c r="B5" s="4">
        <v>4.8726725024208191E-3</v>
      </c>
    </row>
    <row r="6" spans="1:9" x14ac:dyDescent="0.25">
      <c r="A6" t="s">
        <v>11</v>
      </c>
      <c r="B6" s="4">
        <v>-6.4355925827789436E-3</v>
      </c>
    </row>
    <row r="7" spans="1:9" x14ac:dyDescent="0.25">
      <c r="A7" t="s">
        <v>12</v>
      </c>
      <c r="B7" s="4">
        <v>3.0975695758775399</v>
      </c>
    </row>
    <row r="8" spans="1:9" ht="15.75" thickBot="1" x14ac:dyDescent="0.3">
      <c r="A8" s="1" t="s">
        <v>13</v>
      </c>
      <c r="B8" s="1">
        <v>90</v>
      </c>
    </row>
    <row r="10" spans="1:9" ht="15.75" thickBot="1" x14ac:dyDescent="0.3">
      <c r="A10" t="s">
        <v>14</v>
      </c>
    </row>
    <row r="11" spans="1:9" x14ac:dyDescent="0.25">
      <c r="A11" s="2"/>
      <c r="B11" s="2" t="s">
        <v>3</v>
      </c>
      <c r="C11" s="2" t="s">
        <v>4</v>
      </c>
      <c r="D11" s="2" t="s">
        <v>5</v>
      </c>
      <c r="E11" s="2" t="s">
        <v>6</v>
      </c>
      <c r="F11" s="2" t="s">
        <v>19</v>
      </c>
    </row>
    <row r="12" spans="1:9" x14ac:dyDescent="0.25">
      <c r="A12" t="s">
        <v>15</v>
      </c>
      <c r="B12">
        <v>1</v>
      </c>
      <c r="C12" s="4">
        <v>4.1344084774984822</v>
      </c>
      <c r="D12" s="4">
        <v>4.1344084774984822</v>
      </c>
      <c r="E12" s="4">
        <v>0.43089478940480125</v>
      </c>
      <c r="F12" s="4">
        <v>0.51326308065615556</v>
      </c>
    </row>
    <row r="13" spans="1:9" x14ac:dyDescent="0.25">
      <c r="A13" t="s">
        <v>16</v>
      </c>
      <c r="B13">
        <v>88</v>
      </c>
      <c r="C13" s="4">
        <v>844.35448041139034</v>
      </c>
      <c r="D13" s="4">
        <v>9.5949372774021633</v>
      </c>
      <c r="E13" s="4"/>
      <c r="F13" s="4"/>
    </row>
    <row r="14" spans="1:9" ht="15.75" thickBot="1" x14ac:dyDescent="0.3">
      <c r="A14" s="1" t="s">
        <v>17</v>
      </c>
      <c r="B14" s="1">
        <v>89</v>
      </c>
      <c r="C14" s="5">
        <v>848.48888888888882</v>
      </c>
      <c r="D14" s="5"/>
      <c r="E14" s="5"/>
      <c r="F14" s="5"/>
    </row>
    <row r="15" spans="1:9" ht="15.75" thickBot="1" x14ac:dyDescent="0.3"/>
    <row r="16" spans="1:9" x14ac:dyDescent="0.25">
      <c r="A16" s="2"/>
      <c r="B16" s="2" t="s">
        <v>20</v>
      </c>
      <c r="C16" s="2" t="s">
        <v>12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5">
      <c r="A17" t="s">
        <v>18</v>
      </c>
      <c r="B17" s="4">
        <v>-6.2279473098449083</v>
      </c>
      <c r="C17" s="4">
        <v>1.1397975671220921</v>
      </c>
      <c r="D17" s="4">
        <v>-5.4640819470864752</v>
      </c>
      <c r="E17" s="4">
        <v>4.2768351358279764E-7</v>
      </c>
      <c r="F17" s="4">
        <v>-8.4930554629458701</v>
      </c>
      <c r="G17" s="4">
        <v>-3.9628391567439469</v>
      </c>
      <c r="H17" s="4">
        <v>-8.4930554629458701</v>
      </c>
      <c r="I17" s="4">
        <v>-3.9628391567439469</v>
      </c>
    </row>
    <row r="18" spans="1:9" ht="15.75" thickBot="1" x14ac:dyDescent="0.3">
      <c r="A18" s="1" t="s">
        <v>77</v>
      </c>
      <c r="B18" s="5">
        <v>218.21125461253482</v>
      </c>
      <c r="C18" s="5">
        <v>332.42335252642442</v>
      </c>
      <c r="D18" s="5">
        <v>0.65642576838878719</v>
      </c>
      <c r="E18" s="5">
        <v>0.51326308065615134</v>
      </c>
      <c r="F18" s="5">
        <v>-442.41030469642817</v>
      </c>
      <c r="G18" s="5">
        <v>878.83281392149786</v>
      </c>
      <c r="H18" s="5">
        <v>-442.41030469642817</v>
      </c>
      <c r="I18" s="5">
        <v>878.83281392149786</v>
      </c>
    </row>
    <row r="22" spans="1:9" x14ac:dyDescent="0.25">
      <c r="A22" t="s">
        <v>27</v>
      </c>
    </row>
    <row r="23" spans="1:9" ht="15.75" thickBot="1" x14ac:dyDescent="0.3"/>
    <row r="24" spans="1:9" x14ac:dyDescent="0.25">
      <c r="A24" s="2" t="s">
        <v>28</v>
      </c>
      <c r="B24" s="2" t="s">
        <v>31</v>
      </c>
      <c r="C24" s="2" t="s">
        <v>29</v>
      </c>
      <c r="D24" s="2" t="s">
        <v>30</v>
      </c>
    </row>
    <row r="25" spans="1:9" x14ac:dyDescent="0.25">
      <c r="A25">
        <v>1</v>
      </c>
      <c r="B25" s="4">
        <v>-5.2914183200915401</v>
      </c>
      <c r="C25" s="4">
        <v>-1.7085816799084599</v>
      </c>
      <c r="D25" s="4">
        <v>-0.55471299828689025</v>
      </c>
    </row>
    <row r="26" spans="1:9" x14ac:dyDescent="0.25">
      <c r="A26">
        <v>2</v>
      </c>
      <c r="B26" s="4">
        <v>-5.7228286649084854</v>
      </c>
      <c r="C26" s="4">
        <v>-0.27717133509151459</v>
      </c>
      <c r="D26" s="4">
        <v>-8.9987235691320222E-2</v>
      </c>
    </row>
    <row r="27" spans="1:9" x14ac:dyDescent="0.25">
      <c r="A27">
        <v>3</v>
      </c>
      <c r="B27" s="4">
        <v>-5.6611648303318312</v>
      </c>
      <c r="C27" s="4">
        <v>-4.3388351696681688</v>
      </c>
      <c r="D27" s="4">
        <v>-1.4086585934646021</v>
      </c>
    </row>
    <row r="28" spans="1:9" x14ac:dyDescent="0.25">
      <c r="A28">
        <v>4</v>
      </c>
      <c r="B28" s="4">
        <v>-5.5990964319989871</v>
      </c>
      <c r="C28" s="4">
        <v>4.5990964319989871</v>
      </c>
      <c r="D28" s="4">
        <v>1.4931557567334919</v>
      </c>
    </row>
    <row r="29" spans="1:9" x14ac:dyDescent="0.25">
      <c r="A29">
        <v>5</v>
      </c>
      <c r="B29" s="4">
        <v>-5.4315558696531756</v>
      </c>
      <c r="C29" s="4">
        <v>3.4315558696531756</v>
      </c>
      <c r="D29" s="4">
        <v>1.1140987098411794</v>
      </c>
    </row>
    <row r="30" spans="1:9" x14ac:dyDescent="0.25">
      <c r="A30">
        <v>6</v>
      </c>
      <c r="B30" s="4">
        <v>-5.4373268221183331</v>
      </c>
      <c r="C30" s="4">
        <v>-0.56267317788166693</v>
      </c>
      <c r="D30" s="4">
        <v>-0.18267907775709891</v>
      </c>
    </row>
    <row r="31" spans="1:9" x14ac:dyDescent="0.25">
      <c r="A31">
        <v>7</v>
      </c>
      <c r="B31" s="4">
        <v>-5.4857321581015928</v>
      </c>
      <c r="C31" s="4">
        <v>-0.51426784189840724</v>
      </c>
      <c r="D31" s="4">
        <v>-0.16696366340371729</v>
      </c>
    </row>
    <row r="32" spans="1:9" x14ac:dyDescent="0.25">
      <c r="A32">
        <v>8</v>
      </c>
      <c r="B32" s="4">
        <v>-5.6009034747514175</v>
      </c>
      <c r="C32" s="4">
        <v>0.60090347475141748</v>
      </c>
      <c r="D32" s="4">
        <v>0.19509103490927523</v>
      </c>
    </row>
    <row r="33" spans="1:4" x14ac:dyDescent="0.25">
      <c r="A33">
        <v>9</v>
      </c>
      <c r="B33" s="4">
        <v>-5.5352131682178136</v>
      </c>
      <c r="C33" s="4">
        <v>-4.4647868317821864</v>
      </c>
      <c r="D33" s="4">
        <v>-1.4495504190952195</v>
      </c>
    </row>
    <row r="34" spans="1:4" x14ac:dyDescent="0.25">
      <c r="A34">
        <v>10</v>
      </c>
      <c r="B34" s="4">
        <v>-5.5171614642014726</v>
      </c>
      <c r="C34" s="4">
        <v>1.5171614642014726</v>
      </c>
      <c r="D34" s="4">
        <v>0.49256596543726078</v>
      </c>
    </row>
    <row r="35" spans="1:4" x14ac:dyDescent="0.25">
      <c r="A35">
        <v>11</v>
      </c>
      <c r="B35" s="4">
        <v>-5.6491376159124549</v>
      </c>
      <c r="C35" s="4">
        <v>-3.3508623840875451</v>
      </c>
      <c r="D35" s="4">
        <v>-1.0879005328112532</v>
      </c>
    </row>
    <row r="36" spans="1:4" x14ac:dyDescent="0.25">
      <c r="A36">
        <v>12</v>
      </c>
      <c r="B36" s="4">
        <v>-5.5823518819971722</v>
      </c>
      <c r="C36" s="4">
        <v>0.58235188199717225</v>
      </c>
      <c r="D36" s="4">
        <v>0.18906802192680192</v>
      </c>
    </row>
    <row r="37" spans="1:4" x14ac:dyDescent="0.25">
      <c r="A37">
        <v>13</v>
      </c>
      <c r="B37" s="4">
        <v>-5.6097851154751215</v>
      </c>
      <c r="C37" s="4">
        <v>-1.3902148845248785</v>
      </c>
      <c r="D37" s="4">
        <v>-0.45135112703489544</v>
      </c>
    </row>
    <row r="38" spans="1:4" x14ac:dyDescent="0.25">
      <c r="A38">
        <v>14</v>
      </c>
      <c r="B38" s="4">
        <v>-5.5706844947469119</v>
      </c>
      <c r="C38" s="4">
        <v>2.5706844947469119</v>
      </c>
      <c r="D38" s="4">
        <v>0.83460575546325588</v>
      </c>
    </row>
    <row r="39" spans="1:4" x14ac:dyDescent="0.25">
      <c r="A39">
        <v>15</v>
      </c>
      <c r="B39" s="4">
        <v>-5.5171614642014726</v>
      </c>
      <c r="C39" s="4">
        <v>-4.4828385357985274</v>
      </c>
      <c r="D39" s="4">
        <v>-1.4554111367751776</v>
      </c>
    </row>
    <row r="40" spans="1:4" x14ac:dyDescent="0.25">
      <c r="A40">
        <v>16</v>
      </c>
      <c r="B40" s="4">
        <v>-5.4013895272216708</v>
      </c>
      <c r="C40" s="4">
        <v>4.4013895272216708</v>
      </c>
      <c r="D40" s="4">
        <v>1.4289676694909075</v>
      </c>
    </row>
    <row r="41" spans="1:4" x14ac:dyDescent="0.25">
      <c r="A41">
        <v>17</v>
      </c>
      <c r="B41" s="4">
        <v>-5.4622937848886455</v>
      </c>
      <c r="C41" s="4">
        <v>2.4622937848886455</v>
      </c>
      <c r="D41" s="4">
        <v>0.79941531864718007</v>
      </c>
    </row>
    <row r="42" spans="1:4" x14ac:dyDescent="0.25">
      <c r="A42">
        <v>18</v>
      </c>
      <c r="B42" s="4">
        <v>-5.6491376159124549</v>
      </c>
      <c r="C42" s="4">
        <v>0.64913761591245489</v>
      </c>
      <c r="D42" s="4">
        <v>0.21075086866370579</v>
      </c>
    </row>
    <row r="43" spans="1:4" x14ac:dyDescent="0.25">
      <c r="A43">
        <v>19</v>
      </c>
      <c r="B43" s="4">
        <v>-4.635164429461442</v>
      </c>
      <c r="C43" s="4">
        <v>-0.36483557053855797</v>
      </c>
      <c r="D43" s="4">
        <v>-0.11844855624695363</v>
      </c>
    </row>
    <row r="44" spans="1:4" x14ac:dyDescent="0.25">
      <c r="A44">
        <v>20</v>
      </c>
      <c r="B44" s="4">
        <v>-5.3372891277529293</v>
      </c>
      <c r="C44" s="4">
        <v>4.3372891277529293</v>
      </c>
      <c r="D44" s="4">
        <v>1.4081566510896109</v>
      </c>
    </row>
    <row r="45" spans="1:4" x14ac:dyDescent="0.25">
      <c r="A45">
        <v>21</v>
      </c>
      <c r="B45" s="4">
        <v>-5.709630790575229</v>
      </c>
      <c r="C45" s="4">
        <v>6.709630790575229</v>
      </c>
      <c r="D45" s="4">
        <v>2.1783678573900143</v>
      </c>
    </row>
    <row r="46" spans="1:4" x14ac:dyDescent="0.25">
      <c r="A46">
        <v>22</v>
      </c>
      <c r="B46" s="4">
        <v>-5.5307867519773852</v>
      </c>
      <c r="C46" s="4">
        <v>-4.4692132480226148</v>
      </c>
      <c r="D46" s="4">
        <v>-1.4509875120087554</v>
      </c>
    </row>
    <row r="47" spans="1:4" x14ac:dyDescent="0.25">
      <c r="A47">
        <v>23</v>
      </c>
      <c r="B47" s="4">
        <v>-5.620116517052332</v>
      </c>
      <c r="C47" s="4">
        <v>2.620116517052332</v>
      </c>
      <c r="D47" s="4">
        <v>0.85065449672442472</v>
      </c>
    </row>
    <row r="48" spans="1:4" x14ac:dyDescent="0.25">
      <c r="A48">
        <v>24</v>
      </c>
      <c r="B48" s="4">
        <v>-5.7353711143312855</v>
      </c>
      <c r="C48" s="4">
        <v>-3.2646288856687145</v>
      </c>
      <c r="D48" s="4">
        <v>-1.0599037194173273</v>
      </c>
    </row>
    <row r="49" spans="1:4" x14ac:dyDescent="0.25">
      <c r="A49">
        <v>25</v>
      </c>
      <c r="B49" s="4">
        <v>-5.1423191774442376</v>
      </c>
      <c r="C49" s="4">
        <v>-0.85768082255576239</v>
      </c>
      <c r="D49" s="4">
        <v>-0.27845710055755912</v>
      </c>
    </row>
    <row r="50" spans="1:4" x14ac:dyDescent="0.25">
      <c r="A50">
        <v>26</v>
      </c>
      <c r="B50" s="4">
        <v>-5.7320126402709652</v>
      </c>
      <c r="C50" s="4">
        <v>3.7320126402709652</v>
      </c>
      <c r="D50" s="4">
        <v>1.2116458614025376</v>
      </c>
    </row>
    <row r="51" spans="1:4" x14ac:dyDescent="0.25">
      <c r="A51">
        <v>27</v>
      </c>
      <c r="B51" s="4">
        <v>-5.4315558696531756</v>
      </c>
      <c r="C51" s="4">
        <v>3.4315558696531756</v>
      </c>
      <c r="D51" s="4">
        <v>1.1140987098411794</v>
      </c>
    </row>
    <row r="52" spans="1:4" x14ac:dyDescent="0.25">
      <c r="A52">
        <v>28</v>
      </c>
      <c r="B52" s="4">
        <v>-5.3918888630535875</v>
      </c>
      <c r="C52" s="4">
        <v>-2.6081111369464125</v>
      </c>
      <c r="D52" s="4">
        <v>-0.84675679579947682</v>
      </c>
    </row>
    <row r="53" spans="1:4" x14ac:dyDescent="0.25">
      <c r="A53">
        <v>29</v>
      </c>
      <c r="B53" s="4">
        <v>-5.4197574779466313</v>
      </c>
      <c r="C53" s="4">
        <v>-3.5802425220533687</v>
      </c>
      <c r="D53" s="4">
        <v>-1.1623717422212121</v>
      </c>
    </row>
    <row r="54" spans="1:4" x14ac:dyDescent="0.25">
      <c r="A54">
        <v>30</v>
      </c>
      <c r="B54" s="4">
        <v>-5.5954509196636479</v>
      </c>
      <c r="C54" s="4">
        <v>3.5954509196636479</v>
      </c>
      <c r="D54" s="4">
        <v>1.1673093439389066</v>
      </c>
    </row>
    <row r="55" spans="1:4" x14ac:dyDescent="0.25">
      <c r="A55">
        <v>31</v>
      </c>
      <c r="B55" s="4">
        <v>-5.5746202002265406</v>
      </c>
      <c r="C55" s="4">
        <v>-2.4253797997734594</v>
      </c>
      <c r="D55" s="4">
        <v>-0.78743071902121453</v>
      </c>
    </row>
    <row r="56" spans="1:4" x14ac:dyDescent="0.25">
      <c r="A56">
        <v>32</v>
      </c>
      <c r="B56" s="4">
        <v>-5.7897720997795776</v>
      </c>
      <c r="C56" s="4">
        <v>-3.2102279002204224</v>
      </c>
      <c r="D56" s="4">
        <v>-1.0422417404188165</v>
      </c>
    </row>
    <row r="57" spans="1:4" x14ac:dyDescent="0.25">
      <c r="A57">
        <v>33</v>
      </c>
      <c r="B57" s="4">
        <v>-5.5899027057146897</v>
      </c>
      <c r="C57" s="4">
        <v>-1.4100972942853103</v>
      </c>
      <c r="D57" s="4">
        <v>-0.45780620685991646</v>
      </c>
    </row>
    <row r="58" spans="1:4" x14ac:dyDescent="0.25">
      <c r="A58">
        <v>34</v>
      </c>
      <c r="B58" s="4">
        <v>-5.3551022913947692</v>
      </c>
      <c r="C58" s="4">
        <v>3.3551022913947692</v>
      </c>
      <c r="D58" s="4">
        <v>1.0892770732029158</v>
      </c>
    </row>
    <row r="59" spans="1:4" x14ac:dyDescent="0.25">
      <c r="A59">
        <v>35</v>
      </c>
      <c r="B59" s="4">
        <v>-5.6864801768113233</v>
      </c>
      <c r="C59" s="4">
        <v>0.68648017681132334</v>
      </c>
      <c r="D59" s="4">
        <v>0.22287461092520067</v>
      </c>
    </row>
    <row r="60" spans="1:4" x14ac:dyDescent="0.25">
      <c r="A60">
        <v>36</v>
      </c>
      <c r="B60" s="4">
        <v>-5.7251564005994364</v>
      </c>
      <c r="C60" s="4">
        <v>2.7251564005994364</v>
      </c>
      <c r="D60" s="4">
        <v>0.88475704471922823</v>
      </c>
    </row>
    <row r="61" spans="1:4" x14ac:dyDescent="0.25">
      <c r="A61">
        <v>37</v>
      </c>
      <c r="B61" s="4">
        <v>-5.5460371391807373</v>
      </c>
      <c r="C61" s="4">
        <v>-0.45396286081926274</v>
      </c>
      <c r="D61" s="4">
        <v>-0.14738487635512931</v>
      </c>
    </row>
    <row r="62" spans="1:4" x14ac:dyDescent="0.25">
      <c r="A62">
        <v>38</v>
      </c>
      <c r="B62" s="4">
        <v>-5.5417483959690124</v>
      </c>
      <c r="C62" s="4">
        <v>-4.4582516040309876</v>
      </c>
      <c r="D62" s="4">
        <v>-1.4474286734257065</v>
      </c>
    </row>
    <row r="63" spans="1:4" x14ac:dyDescent="0.25">
      <c r="A63">
        <v>39</v>
      </c>
      <c r="B63" s="4">
        <v>-5.3755595965146945</v>
      </c>
      <c r="C63" s="4">
        <v>1.3755595965146945</v>
      </c>
      <c r="D63" s="4">
        <v>0.44659309945653425</v>
      </c>
    </row>
    <row r="64" spans="1:4" x14ac:dyDescent="0.25">
      <c r="A64">
        <v>40</v>
      </c>
      <c r="B64" s="4">
        <v>-5.6184186656758168</v>
      </c>
      <c r="C64" s="4">
        <v>-1.3815813343241832</v>
      </c>
      <c r="D64" s="4">
        <v>-0.44854813401793608</v>
      </c>
    </row>
    <row r="65" spans="1:4" x14ac:dyDescent="0.25">
      <c r="A65">
        <v>41</v>
      </c>
      <c r="B65" s="4">
        <v>-5.5990964319989871</v>
      </c>
      <c r="C65" s="4">
        <v>3.5990964319989871</v>
      </c>
      <c r="D65" s="4">
        <v>1.1684929063647522</v>
      </c>
    </row>
    <row r="66" spans="1:4" x14ac:dyDescent="0.25">
      <c r="A66">
        <v>42</v>
      </c>
      <c r="B66" s="4">
        <v>-5.5417483959690124</v>
      </c>
      <c r="C66" s="4">
        <v>1.5417483959690124</v>
      </c>
      <c r="D66" s="4">
        <v>0.500548428786732</v>
      </c>
    </row>
    <row r="67" spans="1:4" x14ac:dyDescent="0.25">
      <c r="A67">
        <v>43</v>
      </c>
      <c r="B67" s="4">
        <v>-5.6365888962608031</v>
      </c>
      <c r="C67" s="4">
        <v>-4.3634111037391969</v>
      </c>
      <c r="D67" s="4">
        <v>-1.4166374862705764</v>
      </c>
    </row>
    <row r="68" spans="1:4" x14ac:dyDescent="0.25">
      <c r="A68">
        <v>44</v>
      </c>
      <c r="B68" s="4">
        <v>-5.6824191733135709</v>
      </c>
      <c r="C68" s="4">
        <v>-4.3175808266864291</v>
      </c>
      <c r="D68" s="4">
        <v>-1.4017580978894357</v>
      </c>
    </row>
    <row r="69" spans="1:4" x14ac:dyDescent="0.25">
      <c r="A69">
        <v>45</v>
      </c>
      <c r="B69" s="4">
        <v>-5.440181047705793</v>
      </c>
      <c r="C69" s="4">
        <v>-3.559818952294207</v>
      </c>
      <c r="D69" s="4">
        <v>-1.155740967848498</v>
      </c>
    </row>
    <row r="70" spans="1:4" x14ac:dyDescent="0.25">
      <c r="A70">
        <v>46</v>
      </c>
      <c r="B70" s="4">
        <v>-5.6755137538638074</v>
      </c>
      <c r="C70" s="4">
        <v>-4.3244862461361926</v>
      </c>
      <c r="D70" s="4">
        <v>-1.4040000310509877</v>
      </c>
    </row>
    <row r="71" spans="1:4" x14ac:dyDescent="0.25">
      <c r="A71">
        <v>47</v>
      </c>
      <c r="B71" s="4">
        <v>-5.6712859460374219</v>
      </c>
      <c r="C71" s="4">
        <v>-4.3287140539625781</v>
      </c>
      <c r="D71" s="4">
        <v>-1.4053726431907132</v>
      </c>
    </row>
    <row r="72" spans="1:4" x14ac:dyDescent="0.25">
      <c r="A72">
        <v>48</v>
      </c>
      <c r="B72" s="4">
        <v>-5.3372891277529293</v>
      </c>
      <c r="C72" s="4">
        <v>-1.6627108722470707</v>
      </c>
      <c r="D72" s="4">
        <v>-0.53982045112282739</v>
      </c>
    </row>
    <row r="73" spans="1:4" x14ac:dyDescent="0.25">
      <c r="A73">
        <v>49</v>
      </c>
      <c r="B73" s="4">
        <v>-5.7375849399290999</v>
      </c>
      <c r="C73" s="4">
        <v>6.7375849399290999</v>
      </c>
      <c r="D73" s="4">
        <v>2.1874435311988756</v>
      </c>
    </row>
    <row r="74" spans="1:4" x14ac:dyDescent="0.25">
      <c r="A74">
        <v>50</v>
      </c>
      <c r="B74" s="4">
        <v>-5.5523706701776181</v>
      </c>
      <c r="C74" s="4">
        <v>7.5523706701776181</v>
      </c>
      <c r="D74" s="4">
        <v>2.4519741888211346</v>
      </c>
    </row>
    <row r="75" spans="1:4" x14ac:dyDescent="0.25">
      <c r="A75">
        <v>51</v>
      </c>
      <c r="B75" s="4">
        <v>-5.5686988064837761</v>
      </c>
      <c r="C75" s="4">
        <v>-4.4313011935162239</v>
      </c>
      <c r="D75" s="4">
        <v>-1.4386788763293756</v>
      </c>
    </row>
    <row r="76" spans="1:4" x14ac:dyDescent="0.25">
      <c r="A76">
        <v>52</v>
      </c>
      <c r="B76" s="4">
        <v>-4.669295491183945</v>
      </c>
      <c r="C76" s="4">
        <v>2.669295491183945</v>
      </c>
      <c r="D76" s="4">
        <v>0.86662108264420479</v>
      </c>
    </row>
    <row r="77" spans="1:4" x14ac:dyDescent="0.25">
      <c r="A77">
        <v>53</v>
      </c>
      <c r="B77" s="4">
        <v>-5.5077781527078296</v>
      </c>
      <c r="C77" s="4">
        <v>-0.49222184729217044</v>
      </c>
      <c r="D77" s="4">
        <v>-0.1598061479556426</v>
      </c>
    </row>
    <row r="78" spans="1:4" x14ac:dyDescent="0.25">
      <c r="A78">
        <v>54</v>
      </c>
      <c r="B78" s="4">
        <v>-5.3445009348953745</v>
      </c>
      <c r="C78" s="4">
        <v>-1.6554990651046255</v>
      </c>
      <c r="D78" s="4">
        <v>-0.53747904525965151</v>
      </c>
    </row>
    <row r="79" spans="1:4" x14ac:dyDescent="0.25">
      <c r="A79">
        <v>55</v>
      </c>
      <c r="B79" s="4">
        <v>-5.6640939387530871</v>
      </c>
      <c r="C79" s="4">
        <v>2.6640939387530871</v>
      </c>
      <c r="D79" s="4">
        <v>0.86493233180565998</v>
      </c>
    </row>
    <row r="80" spans="1:4" x14ac:dyDescent="0.25">
      <c r="A80">
        <v>56</v>
      </c>
      <c r="B80" s="4">
        <v>-5.7157143177967047</v>
      </c>
      <c r="C80" s="4">
        <v>-1.2842856822032953</v>
      </c>
      <c r="D80" s="4">
        <v>-0.41695985027188331</v>
      </c>
    </row>
    <row r="81" spans="1:4" x14ac:dyDescent="0.25">
      <c r="A81">
        <v>57</v>
      </c>
      <c r="B81" s="4">
        <v>-5.510147130198412</v>
      </c>
      <c r="C81" s="4">
        <v>-0.48985286980158804</v>
      </c>
      <c r="D81" s="4">
        <v>-0.15903702897109073</v>
      </c>
    </row>
    <row r="82" spans="1:4" x14ac:dyDescent="0.25">
      <c r="A82">
        <v>58</v>
      </c>
      <c r="B82" s="4">
        <v>-5.3788762802241505</v>
      </c>
      <c r="C82" s="4">
        <v>-3.6211237197758495</v>
      </c>
      <c r="D82" s="4">
        <v>-1.1756443484002808</v>
      </c>
    </row>
    <row r="83" spans="1:4" x14ac:dyDescent="0.25">
      <c r="A83">
        <v>59</v>
      </c>
      <c r="B83" s="4">
        <v>-5.6491376159124549</v>
      </c>
      <c r="C83" s="4">
        <v>0.64913761591245489</v>
      </c>
      <c r="D83" s="4">
        <v>0.21075086866370579</v>
      </c>
    </row>
    <row r="84" spans="1:4" x14ac:dyDescent="0.25">
      <c r="A84">
        <v>60</v>
      </c>
      <c r="B84" s="4">
        <v>-5.820075805896245</v>
      </c>
      <c r="C84" s="4">
        <v>4.820075805896245</v>
      </c>
      <c r="D84" s="4">
        <v>1.5648995501356751</v>
      </c>
    </row>
    <row r="85" spans="1:4" x14ac:dyDescent="0.25">
      <c r="A85">
        <v>61</v>
      </c>
      <c r="B85" s="4">
        <v>-5.178854739592337</v>
      </c>
      <c r="C85" s="4">
        <v>0.178854739592337</v>
      </c>
      <c r="D85" s="4">
        <v>5.8067489558006814E-2</v>
      </c>
    </row>
    <row r="86" spans="1:4" x14ac:dyDescent="0.25">
      <c r="A86">
        <v>62</v>
      </c>
      <c r="B86" s="4">
        <v>-5.616711302526884</v>
      </c>
      <c r="C86" s="4">
        <v>1.616711302526884</v>
      </c>
      <c r="D86" s="4">
        <v>0.52488609970173605</v>
      </c>
    </row>
    <row r="87" spans="1:4" x14ac:dyDescent="0.25">
      <c r="A87">
        <v>63</v>
      </c>
      <c r="B87" s="4">
        <v>-5.5804361685614223</v>
      </c>
      <c r="C87" s="4">
        <v>2.5804361685614223</v>
      </c>
      <c r="D87" s="4">
        <v>0.8377717616797411</v>
      </c>
    </row>
    <row r="88" spans="1:4" x14ac:dyDescent="0.25">
      <c r="A88">
        <v>64</v>
      </c>
      <c r="B88" s="4">
        <v>-5.7397789550070231</v>
      </c>
      <c r="C88" s="4">
        <v>3.7397789550070231</v>
      </c>
      <c r="D88" s="4">
        <v>1.2141672952816069</v>
      </c>
    </row>
    <row r="89" spans="1:4" x14ac:dyDescent="0.25">
      <c r="A89">
        <v>65</v>
      </c>
      <c r="B89" s="4">
        <v>-5.3110932988678714</v>
      </c>
      <c r="C89" s="4">
        <v>-1.6889067011321286</v>
      </c>
      <c r="D89" s="4">
        <v>-0.54832526359642209</v>
      </c>
    </row>
    <row r="90" spans="1:4" x14ac:dyDescent="0.25">
      <c r="A90">
        <v>66</v>
      </c>
      <c r="B90" s="4">
        <v>-5.0289843724133982</v>
      </c>
      <c r="C90" s="4">
        <v>2.0289843724133982</v>
      </c>
      <c r="D90" s="4">
        <v>0.65873584970136245</v>
      </c>
    </row>
    <row r="91" spans="1:4" x14ac:dyDescent="0.25">
      <c r="A91">
        <v>67</v>
      </c>
      <c r="B91" s="4">
        <v>-5.7286080544386504</v>
      </c>
      <c r="C91" s="4">
        <v>-3.2713919455613496</v>
      </c>
      <c r="D91" s="4">
        <v>-1.0620994337192848</v>
      </c>
    </row>
    <row r="92" spans="1:4" x14ac:dyDescent="0.25">
      <c r="A92">
        <v>68</v>
      </c>
      <c r="B92" s="4">
        <v>-5.4806484926786929</v>
      </c>
      <c r="C92" s="4">
        <v>-4.5193515073213071</v>
      </c>
      <c r="D92" s="4">
        <v>-1.4672655421851959</v>
      </c>
    </row>
    <row r="93" spans="1:4" x14ac:dyDescent="0.25">
      <c r="A93">
        <v>69</v>
      </c>
      <c r="B93" s="4">
        <v>-5.7666127334970545</v>
      </c>
      <c r="C93" s="4">
        <v>-2.2333872665029455</v>
      </c>
      <c r="D93" s="4">
        <v>-0.72509787592009445</v>
      </c>
    </row>
    <row r="94" spans="1:4" x14ac:dyDescent="0.25">
      <c r="A94">
        <v>70</v>
      </c>
      <c r="B94" s="4">
        <v>-5.6712859460374219</v>
      </c>
      <c r="C94" s="4">
        <v>4.6712859460374219</v>
      </c>
      <c r="D94" s="4">
        <v>1.5165930101279443</v>
      </c>
    </row>
    <row r="95" spans="1:4" x14ac:dyDescent="0.25">
      <c r="A95">
        <v>71</v>
      </c>
      <c r="B95" s="4">
        <v>-5.7342566885495803</v>
      </c>
      <c r="C95" s="4">
        <v>3.7342566885495803</v>
      </c>
      <c r="D95" s="4">
        <v>1.2123744205130378</v>
      </c>
    </row>
    <row r="96" spans="1:4" x14ac:dyDescent="0.25">
      <c r="A96">
        <v>72</v>
      </c>
      <c r="B96" s="4">
        <v>-5.614994347450148</v>
      </c>
      <c r="C96" s="4">
        <v>-1.385005652549852</v>
      </c>
      <c r="D96" s="4">
        <v>-0.44965988293365133</v>
      </c>
    </row>
    <row r="97" spans="1:4" x14ac:dyDescent="0.25">
      <c r="A97">
        <v>73</v>
      </c>
      <c r="B97" s="4">
        <v>-5.6626331787243522</v>
      </c>
      <c r="C97" s="4">
        <v>2.6626331787243522</v>
      </c>
      <c r="D97" s="4">
        <v>0.86445807729102619</v>
      </c>
    </row>
    <row r="98" spans="1:4" x14ac:dyDescent="0.25">
      <c r="A98">
        <v>74</v>
      </c>
      <c r="B98" s="4">
        <v>-5.5823518819971722</v>
      </c>
      <c r="C98" s="4">
        <v>0.58235188199717225</v>
      </c>
      <c r="D98" s="4">
        <v>0.18906802192680192</v>
      </c>
    </row>
    <row r="99" spans="1:4" x14ac:dyDescent="0.25">
      <c r="A99">
        <v>75</v>
      </c>
      <c r="B99" s="4">
        <v>-5.440181047705793</v>
      </c>
      <c r="C99" s="4">
        <v>1.440181047705793</v>
      </c>
      <c r="D99" s="4">
        <v>0.46757328399520071</v>
      </c>
    </row>
    <row r="100" spans="1:4" x14ac:dyDescent="0.25">
      <c r="A100">
        <v>76</v>
      </c>
      <c r="B100" s="4">
        <v>-5.3445009348953745</v>
      </c>
      <c r="C100" s="4">
        <v>1.3445009348953745</v>
      </c>
      <c r="D100" s="4">
        <v>0.43650950584656761</v>
      </c>
    </row>
    <row r="101" spans="1:4" x14ac:dyDescent="0.25">
      <c r="A101">
        <v>77</v>
      </c>
      <c r="B101" s="4">
        <v>-4.9443516944770565</v>
      </c>
      <c r="C101" s="4">
        <v>-5.5648305522943531E-2</v>
      </c>
      <c r="D101" s="4">
        <v>-1.8066937489269328E-2</v>
      </c>
    </row>
    <row r="102" spans="1:4" x14ac:dyDescent="0.25">
      <c r="A102">
        <v>78</v>
      </c>
      <c r="B102" s="4">
        <v>-5.6537071661277114</v>
      </c>
      <c r="C102" s="4">
        <v>-1.3462928338722886</v>
      </c>
      <c r="D102" s="4">
        <v>-0.43709126887598543</v>
      </c>
    </row>
    <row r="103" spans="1:4" x14ac:dyDescent="0.25">
      <c r="A103">
        <v>79</v>
      </c>
      <c r="B103" s="4">
        <v>-5.2405660672542531</v>
      </c>
      <c r="C103" s="4">
        <v>-2.7594339327457469</v>
      </c>
      <c r="D103" s="4">
        <v>-0.8958856860094554</v>
      </c>
    </row>
    <row r="104" spans="1:4" x14ac:dyDescent="0.25">
      <c r="A104">
        <v>80</v>
      </c>
      <c r="B104" s="4">
        <v>-5.467629349522487</v>
      </c>
      <c r="C104" s="4">
        <v>-4.532370650477513</v>
      </c>
      <c r="D104" s="4">
        <v>-1.4714923743116484</v>
      </c>
    </row>
    <row r="105" spans="1:4" x14ac:dyDescent="0.25">
      <c r="A105">
        <v>81</v>
      </c>
      <c r="B105" s="4">
        <v>-5.3336388893017332</v>
      </c>
      <c r="C105" s="4">
        <v>0.33363888930173324</v>
      </c>
      <c r="D105" s="4">
        <v>0.10832015279456114</v>
      </c>
    </row>
    <row r="106" spans="1:4" x14ac:dyDescent="0.25">
      <c r="A106">
        <v>82</v>
      </c>
      <c r="B106" s="4">
        <v>-5.5307867519773852</v>
      </c>
      <c r="C106" s="4">
        <v>-0.46921324802261477</v>
      </c>
      <c r="D106" s="4">
        <v>-0.15233611053379653</v>
      </c>
    </row>
    <row r="107" spans="1:4" x14ac:dyDescent="0.25">
      <c r="A107">
        <v>83</v>
      </c>
      <c r="B107" s="4">
        <v>-5.231548886956622</v>
      </c>
      <c r="C107" s="4">
        <v>0.23154888695662201</v>
      </c>
      <c r="D107" s="4">
        <v>7.5175321639046E-2</v>
      </c>
    </row>
    <row r="108" spans="1:4" x14ac:dyDescent="0.25">
      <c r="A108">
        <v>84</v>
      </c>
      <c r="B108" s="4">
        <v>-5.6712859460374219</v>
      </c>
      <c r="C108" s="4">
        <v>0.67128594603742187</v>
      </c>
      <c r="D108" s="4">
        <v>0.2179416086529854</v>
      </c>
    </row>
    <row r="109" spans="1:4" x14ac:dyDescent="0.25">
      <c r="A109">
        <v>85</v>
      </c>
      <c r="B109" s="4">
        <v>-5.7021370577665111</v>
      </c>
      <c r="C109" s="4">
        <v>1.7021370577665111</v>
      </c>
      <c r="D109" s="4">
        <v>0.55262066889273564</v>
      </c>
    </row>
    <row r="110" spans="1:4" x14ac:dyDescent="0.25">
      <c r="A110">
        <v>86</v>
      </c>
      <c r="B110" s="4">
        <v>-5.5880316071688529</v>
      </c>
      <c r="C110" s="4">
        <v>-2.4119683928311471</v>
      </c>
      <c r="D110" s="4">
        <v>-0.78307653341586836</v>
      </c>
    </row>
    <row r="111" spans="1:4" x14ac:dyDescent="0.25">
      <c r="A111">
        <v>87</v>
      </c>
      <c r="B111" s="4">
        <v>-5.54816146993047</v>
      </c>
      <c r="C111" s="4">
        <v>-0.45183853006953001</v>
      </c>
      <c r="D111" s="4">
        <v>-0.14669518507879512</v>
      </c>
    </row>
    <row r="112" spans="1:4" x14ac:dyDescent="0.25">
      <c r="A112">
        <v>88</v>
      </c>
      <c r="B112" s="4">
        <v>-5.3722168995996737</v>
      </c>
      <c r="C112" s="4">
        <v>-1.6277831004003263</v>
      </c>
      <c r="D112" s="4">
        <v>-0.52848070115803436</v>
      </c>
    </row>
    <row r="113" spans="1:4" x14ac:dyDescent="0.25">
      <c r="A113">
        <v>89</v>
      </c>
      <c r="B113" s="4">
        <v>-5.1686693748326036</v>
      </c>
      <c r="C113" s="4">
        <v>4.1686693748326036</v>
      </c>
      <c r="D113" s="4">
        <v>1.3534120814780253</v>
      </c>
    </row>
    <row r="114" spans="1:4" ht="15.75" thickBot="1" x14ac:dyDescent="0.3">
      <c r="A114" s="1">
        <v>90</v>
      </c>
      <c r="B114" s="5">
        <v>-5.5544557832630108</v>
      </c>
      <c r="C114" s="5">
        <v>-4.4455442167369892</v>
      </c>
      <c r="D114" s="5">
        <v>-1.4433030568460974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9FE122-4598-4904-8883-273C56C518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3</vt:i4>
      </vt:variant>
    </vt:vector>
  </HeadingPairs>
  <TitlesOfParts>
    <vt:vector size="15" baseType="lpstr">
      <vt:lpstr>linear_xz</vt:lpstr>
      <vt:lpstr>help_linear_xz</vt:lpstr>
      <vt:lpstr>hyperbolic_xz</vt:lpstr>
      <vt:lpstr>help_hyperbolic_xz</vt:lpstr>
      <vt:lpstr>logarithmic_xz</vt:lpstr>
      <vt:lpstr>help_logarithmic_xz</vt:lpstr>
      <vt:lpstr>linear_yz</vt:lpstr>
      <vt:lpstr>help_linear_yz</vt:lpstr>
      <vt:lpstr>exponential_yz</vt:lpstr>
      <vt:lpstr>help_exponential_yz</vt:lpstr>
      <vt:lpstr>hyperbolic_yz</vt:lpstr>
      <vt:lpstr>help_hyperbolic_yz</vt:lpstr>
      <vt:lpstr>Xval</vt:lpstr>
      <vt:lpstr>Yval</vt:lpstr>
      <vt:lpstr>Zval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Ventus</dc:creator>
  <cp:lastModifiedBy>Ventus</cp:lastModifiedBy>
  <dcterms:created xsi:type="dcterms:W3CDTF">2024-12-01T15:06:50Z</dcterms:created>
  <dcterms:modified xsi:type="dcterms:W3CDTF">2024-12-25T21:37:15Z</dcterms:modified>
</cp:coreProperties>
</file>