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us\Downloads\"/>
    </mc:Choice>
  </mc:AlternateContent>
  <xr:revisionPtr revIDLastSave="0" documentId="13_ncr:1_{EDF26A35-95DA-40D7-86BE-45288C78C0BD}" xr6:coauthVersionLast="47" xr6:coauthVersionMax="47" xr10:uidLastSave="{00000000-0000-0000-0000-000000000000}"/>
  <bookViews>
    <workbookView xWindow="-120" yWindow="-120" windowWidth="29040" windowHeight="15720" activeTab="2" xr2:uid="{C4309471-FBB5-4599-98FF-D4035DA81425}"/>
  </bookViews>
  <sheets>
    <sheet name="linear" sheetId="1" r:id="rId1"/>
    <sheet name="help_linear" sheetId="2" r:id="rId2"/>
    <sheet name="exponential" sheetId="3" r:id="rId3"/>
    <sheet name="D" sheetId="4" r:id="rId4"/>
    <sheet name="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3" l="1"/>
  <c r="N2" i="3"/>
  <c r="N3" i="3"/>
  <c r="N4" i="3"/>
  <c r="N5" i="3"/>
  <c r="N6" i="3"/>
  <c r="N7" i="3"/>
  <c r="N8" i="3"/>
  <c r="N9" i="3"/>
  <c r="N10" i="3"/>
  <c r="N11" i="3"/>
  <c r="N12" i="3"/>
  <c r="N13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D12" i="2"/>
  <c r="D24" i="2"/>
  <c r="D36" i="2"/>
  <c r="D48" i="2"/>
  <c r="D56" i="2"/>
  <c r="D60" i="2"/>
  <c r="D68" i="2"/>
  <c r="D72" i="2"/>
  <c r="D80" i="2"/>
  <c r="D84" i="2"/>
  <c r="L12" i="3"/>
  <c r="L13" i="3"/>
  <c r="L24" i="3"/>
  <c r="L72" i="3"/>
  <c r="R3" i="3"/>
  <c r="M62" i="3" s="1"/>
  <c r="B18" i="5"/>
  <c r="B17" i="5"/>
  <c r="B16" i="5"/>
  <c r="B15" i="5"/>
  <c r="B14" i="5"/>
  <c r="B13" i="5"/>
  <c r="B12" i="5" a="1"/>
  <c r="B12" i="5" s="1"/>
  <c r="B11" i="5"/>
  <c r="F2" i="5"/>
  <c r="C10" i="5"/>
  <c r="D10" i="5"/>
  <c r="E10" i="5"/>
  <c r="B10" i="5"/>
  <c r="F10" i="5" s="1"/>
  <c r="E9" i="5"/>
  <c r="D9" i="5"/>
  <c r="C9" i="5"/>
  <c r="B9" i="5"/>
  <c r="F9" i="5" s="1"/>
  <c r="B16" i="4"/>
  <c r="B10" i="4"/>
  <c r="B13" i="4" s="1"/>
  <c r="K5" i="4"/>
  <c r="B9" i="4" s="1"/>
  <c r="K1" i="4"/>
  <c r="K2" i="4"/>
  <c r="C7" i="4"/>
  <c r="D7" i="4"/>
  <c r="E7" i="4"/>
  <c r="F7" i="4"/>
  <c r="G7" i="4"/>
  <c r="H7" i="4"/>
  <c r="B7" i="4"/>
  <c r="C6" i="4"/>
  <c r="D6" i="4"/>
  <c r="E6" i="4"/>
  <c r="F6" i="4"/>
  <c r="G6" i="4"/>
  <c r="H6" i="4"/>
  <c r="B6" i="4"/>
  <c r="D93" i="1"/>
  <c r="F3" i="3"/>
  <c r="G3" i="3"/>
  <c r="F4" i="3"/>
  <c r="L4" i="3" s="1"/>
  <c r="G4" i="3"/>
  <c r="F5" i="3"/>
  <c r="G5" i="3"/>
  <c r="F6" i="3"/>
  <c r="L6" i="3" s="1"/>
  <c r="G6" i="3"/>
  <c r="F7" i="3"/>
  <c r="G7" i="3"/>
  <c r="F8" i="3"/>
  <c r="L8" i="3" s="1"/>
  <c r="G8" i="3"/>
  <c r="F9" i="3"/>
  <c r="G9" i="3"/>
  <c r="F10" i="3"/>
  <c r="L10" i="3" s="1"/>
  <c r="G10" i="3"/>
  <c r="F11" i="3"/>
  <c r="G11" i="3"/>
  <c r="L11" i="3" s="1"/>
  <c r="F12" i="3"/>
  <c r="G12" i="3"/>
  <c r="F13" i="3"/>
  <c r="G13" i="3"/>
  <c r="F14" i="3"/>
  <c r="L14" i="3" s="1"/>
  <c r="G14" i="3"/>
  <c r="F15" i="3"/>
  <c r="L15" i="3" s="1"/>
  <c r="G15" i="3"/>
  <c r="F16" i="3"/>
  <c r="L16" i="3" s="1"/>
  <c r="G16" i="3"/>
  <c r="F17" i="3"/>
  <c r="G17" i="3"/>
  <c r="F18" i="3"/>
  <c r="L18" i="3" s="1"/>
  <c r="G18" i="3"/>
  <c r="F19" i="3"/>
  <c r="G19" i="3"/>
  <c r="F20" i="3"/>
  <c r="L20" i="3" s="1"/>
  <c r="G20" i="3"/>
  <c r="F21" i="3"/>
  <c r="L21" i="3" s="1"/>
  <c r="G21" i="3"/>
  <c r="F22" i="3"/>
  <c r="L22" i="3" s="1"/>
  <c r="G22" i="3"/>
  <c r="F23" i="3"/>
  <c r="L23" i="3" s="1"/>
  <c r="G23" i="3"/>
  <c r="F24" i="3"/>
  <c r="G24" i="3"/>
  <c r="F25" i="3"/>
  <c r="L25" i="3" s="1"/>
  <c r="G25" i="3"/>
  <c r="F26" i="3"/>
  <c r="L26" i="3" s="1"/>
  <c r="G26" i="3"/>
  <c r="F27" i="3"/>
  <c r="L27" i="3" s="1"/>
  <c r="G27" i="3"/>
  <c r="F28" i="3"/>
  <c r="L28" i="3" s="1"/>
  <c r="G28" i="3"/>
  <c r="F29" i="3"/>
  <c r="G29" i="3"/>
  <c r="F30" i="3"/>
  <c r="L30" i="3" s="1"/>
  <c r="G30" i="3"/>
  <c r="F31" i="3"/>
  <c r="G31" i="3"/>
  <c r="F32" i="3"/>
  <c r="L32" i="3" s="1"/>
  <c r="G32" i="3"/>
  <c r="F33" i="3"/>
  <c r="L33" i="3" s="1"/>
  <c r="G33" i="3"/>
  <c r="F34" i="3"/>
  <c r="L34" i="3" s="1"/>
  <c r="G34" i="3"/>
  <c r="F35" i="3"/>
  <c r="L35" i="3" s="1"/>
  <c r="G35" i="3"/>
  <c r="F36" i="3"/>
  <c r="L36" i="3" s="1"/>
  <c r="G36" i="3"/>
  <c r="F37" i="3"/>
  <c r="G37" i="3"/>
  <c r="L37" i="3" s="1"/>
  <c r="F38" i="3"/>
  <c r="L38" i="3" s="1"/>
  <c r="G38" i="3"/>
  <c r="F39" i="3"/>
  <c r="L39" i="3" s="1"/>
  <c r="G39" i="3"/>
  <c r="F40" i="3"/>
  <c r="L40" i="3" s="1"/>
  <c r="G40" i="3"/>
  <c r="F41" i="3"/>
  <c r="G41" i="3"/>
  <c r="F42" i="3"/>
  <c r="L42" i="3" s="1"/>
  <c r="G42" i="3"/>
  <c r="F43" i="3"/>
  <c r="G43" i="3"/>
  <c r="F44" i="3"/>
  <c r="L44" i="3" s="1"/>
  <c r="G44" i="3"/>
  <c r="F45" i="3"/>
  <c r="L45" i="3" s="1"/>
  <c r="G45" i="3"/>
  <c r="F46" i="3"/>
  <c r="L46" i="3" s="1"/>
  <c r="G46" i="3"/>
  <c r="F47" i="3"/>
  <c r="L47" i="3" s="1"/>
  <c r="G47" i="3"/>
  <c r="F48" i="3"/>
  <c r="L48" i="3" s="1"/>
  <c r="G48" i="3"/>
  <c r="F49" i="3"/>
  <c r="G49" i="3"/>
  <c r="L49" i="3" s="1"/>
  <c r="F50" i="3"/>
  <c r="L50" i="3" s="1"/>
  <c r="G50" i="3"/>
  <c r="F51" i="3"/>
  <c r="L51" i="3" s="1"/>
  <c r="G51" i="3"/>
  <c r="F52" i="3"/>
  <c r="L52" i="3" s="1"/>
  <c r="G52" i="3"/>
  <c r="F53" i="3"/>
  <c r="G53" i="3"/>
  <c r="F54" i="3"/>
  <c r="L54" i="3" s="1"/>
  <c r="G54" i="3"/>
  <c r="F55" i="3"/>
  <c r="G55" i="3"/>
  <c r="F56" i="3"/>
  <c r="L56" i="3" s="1"/>
  <c r="G56" i="3"/>
  <c r="F57" i="3"/>
  <c r="L57" i="3" s="1"/>
  <c r="G57" i="3"/>
  <c r="F58" i="3"/>
  <c r="L58" i="3" s="1"/>
  <c r="G58" i="3"/>
  <c r="F59" i="3"/>
  <c r="L59" i="3" s="1"/>
  <c r="G59" i="3"/>
  <c r="F60" i="3"/>
  <c r="L60" i="3" s="1"/>
  <c r="G60" i="3"/>
  <c r="F61" i="3"/>
  <c r="G61" i="3"/>
  <c r="L61" i="3" s="1"/>
  <c r="F62" i="3"/>
  <c r="L62" i="3" s="1"/>
  <c r="G62" i="3"/>
  <c r="F63" i="3"/>
  <c r="L63" i="3" s="1"/>
  <c r="G63" i="3"/>
  <c r="F64" i="3"/>
  <c r="L64" i="3" s="1"/>
  <c r="G64" i="3"/>
  <c r="F65" i="3"/>
  <c r="G65" i="3"/>
  <c r="F66" i="3"/>
  <c r="L66" i="3" s="1"/>
  <c r="G66" i="3"/>
  <c r="F67" i="3"/>
  <c r="G67" i="3"/>
  <c r="F68" i="3"/>
  <c r="L68" i="3" s="1"/>
  <c r="G68" i="3"/>
  <c r="F69" i="3"/>
  <c r="L69" i="3" s="1"/>
  <c r="G69" i="3"/>
  <c r="F70" i="3"/>
  <c r="L70" i="3" s="1"/>
  <c r="G70" i="3"/>
  <c r="F71" i="3"/>
  <c r="L71" i="3" s="1"/>
  <c r="G71" i="3"/>
  <c r="F72" i="3"/>
  <c r="G72" i="3"/>
  <c r="F73" i="3"/>
  <c r="L73" i="3" s="1"/>
  <c r="G73" i="3"/>
  <c r="F74" i="3"/>
  <c r="L74" i="3" s="1"/>
  <c r="G74" i="3"/>
  <c r="F75" i="3"/>
  <c r="L75" i="3" s="1"/>
  <c r="G75" i="3"/>
  <c r="F76" i="3"/>
  <c r="L76" i="3" s="1"/>
  <c r="G76" i="3"/>
  <c r="F77" i="3"/>
  <c r="G77" i="3"/>
  <c r="F78" i="3"/>
  <c r="L78" i="3" s="1"/>
  <c r="G78" i="3"/>
  <c r="F79" i="3"/>
  <c r="G79" i="3"/>
  <c r="F80" i="3"/>
  <c r="L80" i="3" s="1"/>
  <c r="G80" i="3"/>
  <c r="F81" i="3"/>
  <c r="L81" i="3" s="1"/>
  <c r="G81" i="3"/>
  <c r="F82" i="3"/>
  <c r="L82" i="3" s="1"/>
  <c r="G82" i="3"/>
  <c r="F83" i="3"/>
  <c r="L83" i="3" s="1"/>
  <c r="G83" i="3"/>
  <c r="F84" i="3"/>
  <c r="L84" i="3" s="1"/>
  <c r="G84" i="3"/>
  <c r="F85" i="3"/>
  <c r="L85" i="3" s="1"/>
  <c r="G85" i="3"/>
  <c r="F86" i="3"/>
  <c r="L86" i="3" s="1"/>
  <c r="G86" i="3"/>
  <c r="F87" i="3"/>
  <c r="L87" i="3" s="1"/>
  <c r="G87" i="3"/>
  <c r="F88" i="3"/>
  <c r="L88" i="3" s="1"/>
  <c r="G88" i="3"/>
  <c r="F89" i="3"/>
  <c r="G89" i="3"/>
  <c r="F90" i="3"/>
  <c r="L90" i="3" s="1"/>
  <c r="G90" i="3"/>
  <c r="F91" i="3"/>
  <c r="G91" i="3"/>
  <c r="G2" i="3"/>
  <c r="F2" i="3"/>
  <c r="P29" i="1"/>
  <c r="K39" i="1"/>
  <c r="K40" i="1"/>
  <c r="K38" i="1"/>
  <c r="K41" i="1"/>
  <c r="K34" i="1"/>
  <c r="K20" i="1"/>
  <c r="G2" i="2"/>
  <c r="G3" i="2"/>
  <c r="G4" i="2"/>
  <c r="G5" i="2"/>
  <c r="G6" i="2"/>
  <c r="J4" i="2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2" i="2"/>
  <c r="J3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2" i="2"/>
  <c r="J2" i="2" s="1"/>
  <c r="K17" i="1"/>
  <c r="K16" i="1"/>
  <c r="C93" i="1"/>
  <c r="B93" i="1"/>
  <c r="H2" i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C92" i="1"/>
  <c r="G92" i="1"/>
  <c r="B9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F2" i="1"/>
  <c r="E2" i="1"/>
  <c r="D2" i="1"/>
  <c r="O76" i="3" l="1"/>
  <c r="P76" i="3" s="1"/>
  <c r="O64" i="3"/>
  <c r="P64" i="3" s="1"/>
  <c r="D44" i="2"/>
  <c r="D32" i="2"/>
  <c r="D20" i="2"/>
  <c r="D8" i="2"/>
  <c r="O33" i="3"/>
  <c r="P33" i="3" s="1"/>
  <c r="L9" i="3"/>
  <c r="L3" i="3"/>
  <c r="D91" i="2"/>
  <c r="D79" i="2"/>
  <c r="D67" i="2"/>
  <c r="D55" i="2"/>
  <c r="D43" i="2"/>
  <c r="D31" i="2"/>
  <c r="D19" i="2"/>
  <c r="D7" i="2"/>
  <c r="L2" i="3"/>
  <c r="D90" i="2"/>
  <c r="D78" i="2"/>
  <c r="D66" i="2"/>
  <c r="D54" i="2"/>
  <c r="D42" i="2"/>
  <c r="D30" i="2"/>
  <c r="D18" i="2"/>
  <c r="D6" i="2"/>
  <c r="D89" i="2"/>
  <c r="D77" i="2"/>
  <c r="D65" i="2"/>
  <c r="D53" i="2"/>
  <c r="D41" i="2"/>
  <c r="D29" i="2"/>
  <c r="D17" i="2"/>
  <c r="D5" i="2"/>
  <c r="D88" i="2"/>
  <c r="D76" i="2"/>
  <c r="D64" i="2"/>
  <c r="D52" i="2"/>
  <c r="D40" i="2"/>
  <c r="D28" i="2"/>
  <c r="D16" i="2"/>
  <c r="D4" i="2"/>
  <c r="L91" i="3"/>
  <c r="L79" i="3"/>
  <c r="L67" i="3"/>
  <c r="L55" i="3"/>
  <c r="L43" i="3"/>
  <c r="L31" i="3"/>
  <c r="O31" i="3" s="1"/>
  <c r="P31" i="3" s="1"/>
  <c r="L19" i="3"/>
  <c r="O19" i="3" s="1"/>
  <c r="P19" i="3" s="1"/>
  <c r="L7" i="3"/>
  <c r="D87" i="2"/>
  <c r="D75" i="2"/>
  <c r="D63" i="2"/>
  <c r="D51" i="2"/>
  <c r="D39" i="2"/>
  <c r="D27" i="2"/>
  <c r="D15" i="2"/>
  <c r="D3" i="2"/>
  <c r="O86" i="3"/>
  <c r="P86" i="3" s="1"/>
  <c r="O50" i="3"/>
  <c r="P50" i="3" s="1"/>
  <c r="D86" i="2"/>
  <c r="D74" i="2"/>
  <c r="D62" i="2"/>
  <c r="D50" i="2"/>
  <c r="D38" i="2"/>
  <c r="D26" i="2"/>
  <c r="D14" i="2"/>
  <c r="D2" i="2"/>
  <c r="H11" i="2" s="1"/>
  <c r="O66" i="3"/>
  <c r="P66" i="3" s="1"/>
  <c r="D85" i="2"/>
  <c r="D73" i="2"/>
  <c r="D61" i="2"/>
  <c r="D49" i="2"/>
  <c r="D37" i="2"/>
  <c r="D25" i="2"/>
  <c r="D13" i="2"/>
  <c r="L89" i="3"/>
  <c r="L77" i="3"/>
  <c r="L65" i="3"/>
  <c r="L53" i="3"/>
  <c r="L41" i="3"/>
  <c r="L29" i="3"/>
  <c r="L17" i="3"/>
  <c r="L5" i="3"/>
  <c r="D83" i="2"/>
  <c r="D71" i="2"/>
  <c r="D59" i="2"/>
  <c r="D47" i="2"/>
  <c r="D35" i="2"/>
  <c r="D23" i="2"/>
  <c r="D11" i="2"/>
  <c r="D82" i="2"/>
  <c r="D70" i="2"/>
  <c r="D58" i="2"/>
  <c r="D46" i="2"/>
  <c r="D34" i="2"/>
  <c r="D22" i="2"/>
  <c r="D10" i="2"/>
  <c r="O70" i="3"/>
  <c r="P70" i="3" s="1"/>
  <c r="D81" i="2"/>
  <c r="D69" i="2"/>
  <c r="D57" i="2"/>
  <c r="D45" i="2"/>
  <c r="D33" i="2"/>
  <c r="D21" i="2"/>
  <c r="D9" i="2"/>
  <c r="K21" i="1"/>
  <c r="K26" i="1" s="1"/>
  <c r="L26" i="1" s="1"/>
  <c r="M76" i="3"/>
  <c r="E84" i="3"/>
  <c r="H84" i="3" s="1"/>
  <c r="E72" i="3"/>
  <c r="H72" i="3" s="1"/>
  <c r="E60" i="3"/>
  <c r="H60" i="3" s="1"/>
  <c r="O60" i="3" s="1"/>
  <c r="P60" i="3" s="1"/>
  <c r="E48" i="3"/>
  <c r="H48" i="3" s="1"/>
  <c r="O48" i="3" s="1"/>
  <c r="P48" i="3" s="1"/>
  <c r="E36" i="3"/>
  <c r="H36" i="3" s="1"/>
  <c r="O36" i="3" s="1"/>
  <c r="P36" i="3" s="1"/>
  <c r="E24" i="3"/>
  <c r="H24" i="3" s="1"/>
  <c r="O24" i="3" s="1"/>
  <c r="P24" i="3" s="1"/>
  <c r="E12" i="3"/>
  <c r="H12" i="3" s="1"/>
  <c r="J12" i="3" s="1"/>
  <c r="M90" i="3"/>
  <c r="M75" i="3"/>
  <c r="M91" i="3"/>
  <c r="E83" i="3"/>
  <c r="H83" i="3" s="1"/>
  <c r="J83" i="3" s="1"/>
  <c r="E71" i="3"/>
  <c r="H71" i="3" s="1"/>
  <c r="O71" i="3" s="1"/>
  <c r="P71" i="3" s="1"/>
  <c r="E59" i="3"/>
  <c r="H59" i="3" s="1"/>
  <c r="J59" i="3" s="1"/>
  <c r="E47" i="3"/>
  <c r="H47" i="3" s="1"/>
  <c r="J47" i="3" s="1"/>
  <c r="E35" i="3"/>
  <c r="H35" i="3" s="1"/>
  <c r="J35" i="3" s="1"/>
  <c r="E23" i="3"/>
  <c r="H23" i="3" s="1"/>
  <c r="O23" i="3" s="1"/>
  <c r="P23" i="3" s="1"/>
  <c r="E11" i="3"/>
  <c r="H11" i="3" s="1"/>
  <c r="O11" i="3" s="1"/>
  <c r="P11" i="3" s="1"/>
  <c r="M89" i="3"/>
  <c r="M74" i="3"/>
  <c r="E73" i="3"/>
  <c r="H73" i="3" s="1"/>
  <c r="E82" i="3"/>
  <c r="H82" i="3" s="1"/>
  <c r="K82" i="3" s="1"/>
  <c r="E70" i="3"/>
  <c r="H70" i="3" s="1"/>
  <c r="J70" i="3" s="1"/>
  <c r="E58" i="3"/>
  <c r="H58" i="3" s="1"/>
  <c r="J58" i="3" s="1"/>
  <c r="E46" i="3"/>
  <c r="H46" i="3" s="1"/>
  <c r="O46" i="3" s="1"/>
  <c r="P46" i="3" s="1"/>
  <c r="E34" i="3"/>
  <c r="H34" i="3" s="1"/>
  <c r="O34" i="3" s="1"/>
  <c r="P34" i="3" s="1"/>
  <c r="E22" i="3"/>
  <c r="H22" i="3" s="1"/>
  <c r="K22" i="3" s="1"/>
  <c r="E10" i="3"/>
  <c r="H10" i="3" s="1"/>
  <c r="K10" i="3" s="1"/>
  <c r="M88" i="3"/>
  <c r="M73" i="3"/>
  <c r="E49" i="3"/>
  <c r="H49" i="3" s="1"/>
  <c r="O49" i="3" s="1"/>
  <c r="P49" i="3" s="1"/>
  <c r="E81" i="3"/>
  <c r="H81" i="3" s="1"/>
  <c r="J81" i="3" s="1"/>
  <c r="E69" i="3"/>
  <c r="H69" i="3" s="1"/>
  <c r="K69" i="3" s="1"/>
  <c r="E57" i="3"/>
  <c r="H57" i="3" s="1"/>
  <c r="K57" i="3" s="1"/>
  <c r="E45" i="3"/>
  <c r="H45" i="3" s="1"/>
  <c r="J45" i="3" s="1"/>
  <c r="E33" i="3"/>
  <c r="H33" i="3" s="1"/>
  <c r="K33" i="3" s="1"/>
  <c r="E21" i="3"/>
  <c r="H21" i="3" s="1"/>
  <c r="O21" i="3" s="1"/>
  <c r="P21" i="3" s="1"/>
  <c r="E9" i="3"/>
  <c r="H9" i="3" s="1"/>
  <c r="J9" i="3" s="1"/>
  <c r="M87" i="3"/>
  <c r="M71" i="3"/>
  <c r="E61" i="3"/>
  <c r="H61" i="3" s="1"/>
  <c r="O61" i="3" s="1"/>
  <c r="P61" i="3" s="1"/>
  <c r="E80" i="3"/>
  <c r="H80" i="3" s="1"/>
  <c r="O80" i="3" s="1"/>
  <c r="P80" i="3" s="1"/>
  <c r="E68" i="3"/>
  <c r="H68" i="3" s="1"/>
  <c r="O68" i="3" s="1"/>
  <c r="P68" i="3" s="1"/>
  <c r="E56" i="3"/>
  <c r="H56" i="3" s="1"/>
  <c r="K56" i="3" s="1"/>
  <c r="E44" i="3"/>
  <c r="H44" i="3" s="1"/>
  <c r="K44" i="3" s="1"/>
  <c r="E32" i="3"/>
  <c r="H32" i="3" s="1"/>
  <c r="K32" i="3" s="1"/>
  <c r="E20" i="3"/>
  <c r="H20" i="3" s="1"/>
  <c r="J20" i="3" s="1"/>
  <c r="E8" i="3"/>
  <c r="H8" i="3" s="1"/>
  <c r="J8" i="3" s="1"/>
  <c r="M86" i="3"/>
  <c r="M70" i="3"/>
  <c r="E25" i="3"/>
  <c r="H25" i="3" s="1"/>
  <c r="E91" i="3"/>
  <c r="H91" i="3" s="1"/>
  <c r="J91" i="3" s="1"/>
  <c r="E79" i="3"/>
  <c r="H79" i="3" s="1"/>
  <c r="E67" i="3"/>
  <c r="H67" i="3" s="1"/>
  <c r="E55" i="3"/>
  <c r="H55" i="3" s="1"/>
  <c r="E43" i="3"/>
  <c r="H43" i="3" s="1"/>
  <c r="J43" i="3" s="1"/>
  <c r="E31" i="3"/>
  <c r="H31" i="3" s="1"/>
  <c r="K31" i="3" s="1"/>
  <c r="E19" i="3"/>
  <c r="H19" i="3" s="1"/>
  <c r="K19" i="3" s="1"/>
  <c r="E7" i="3"/>
  <c r="H7" i="3" s="1"/>
  <c r="J7" i="3" s="1"/>
  <c r="M85" i="3"/>
  <c r="M69" i="3"/>
  <c r="E37" i="3"/>
  <c r="H37" i="3" s="1"/>
  <c r="E90" i="3"/>
  <c r="H90" i="3" s="1"/>
  <c r="J90" i="3" s="1"/>
  <c r="E78" i="3"/>
  <c r="H78" i="3" s="1"/>
  <c r="K78" i="3" s="1"/>
  <c r="E66" i="3"/>
  <c r="H66" i="3" s="1"/>
  <c r="E54" i="3"/>
  <c r="H54" i="3" s="1"/>
  <c r="O54" i="3" s="1"/>
  <c r="P54" i="3" s="1"/>
  <c r="E42" i="3"/>
  <c r="H42" i="3" s="1"/>
  <c r="O42" i="3" s="1"/>
  <c r="P42" i="3" s="1"/>
  <c r="E30" i="3"/>
  <c r="H30" i="3" s="1"/>
  <c r="J30" i="3" s="1"/>
  <c r="E18" i="3"/>
  <c r="H18" i="3" s="1"/>
  <c r="J18" i="3" s="1"/>
  <c r="E6" i="3"/>
  <c r="H6" i="3" s="1"/>
  <c r="K6" i="3" s="1"/>
  <c r="M84" i="3"/>
  <c r="M68" i="3"/>
  <c r="E13" i="3"/>
  <c r="H13" i="3" s="1"/>
  <c r="O13" i="3" s="1"/>
  <c r="P13" i="3" s="1"/>
  <c r="E89" i="3"/>
  <c r="H89" i="3" s="1"/>
  <c r="J89" i="3" s="1"/>
  <c r="E77" i="3"/>
  <c r="H77" i="3" s="1"/>
  <c r="J77" i="3" s="1"/>
  <c r="E65" i="3"/>
  <c r="H65" i="3" s="1"/>
  <c r="J65" i="3" s="1"/>
  <c r="E53" i="3"/>
  <c r="H53" i="3" s="1"/>
  <c r="E41" i="3"/>
  <c r="H41" i="3" s="1"/>
  <c r="E29" i="3"/>
  <c r="H29" i="3" s="1"/>
  <c r="E17" i="3"/>
  <c r="H17" i="3" s="1"/>
  <c r="K17" i="3" s="1"/>
  <c r="E5" i="3"/>
  <c r="H5" i="3" s="1"/>
  <c r="K5" i="3" s="1"/>
  <c r="M83" i="3"/>
  <c r="M65" i="3"/>
  <c r="E85" i="3"/>
  <c r="H85" i="3" s="1"/>
  <c r="E88" i="3"/>
  <c r="H88" i="3" s="1"/>
  <c r="O88" i="3" s="1"/>
  <c r="P88" i="3" s="1"/>
  <c r="E76" i="3"/>
  <c r="H76" i="3" s="1"/>
  <c r="J76" i="3" s="1"/>
  <c r="E64" i="3"/>
  <c r="H64" i="3" s="1"/>
  <c r="J64" i="3" s="1"/>
  <c r="E52" i="3"/>
  <c r="H52" i="3" s="1"/>
  <c r="K52" i="3" s="1"/>
  <c r="E40" i="3"/>
  <c r="H40" i="3" s="1"/>
  <c r="O40" i="3" s="1"/>
  <c r="P40" i="3" s="1"/>
  <c r="E28" i="3"/>
  <c r="H28" i="3" s="1"/>
  <c r="O28" i="3" s="1"/>
  <c r="P28" i="3" s="1"/>
  <c r="E16" i="3"/>
  <c r="H16" i="3" s="1"/>
  <c r="O16" i="3" s="1"/>
  <c r="P16" i="3" s="1"/>
  <c r="E4" i="3"/>
  <c r="H4" i="3" s="1"/>
  <c r="J4" i="3" s="1"/>
  <c r="M82" i="3"/>
  <c r="M61" i="3"/>
  <c r="E87" i="3"/>
  <c r="H87" i="3" s="1"/>
  <c r="J87" i="3" s="1"/>
  <c r="E75" i="3"/>
  <c r="H75" i="3" s="1"/>
  <c r="J75" i="3" s="1"/>
  <c r="E63" i="3"/>
  <c r="H63" i="3" s="1"/>
  <c r="O63" i="3" s="1"/>
  <c r="P63" i="3" s="1"/>
  <c r="E51" i="3"/>
  <c r="H51" i="3" s="1"/>
  <c r="K51" i="3" s="1"/>
  <c r="E39" i="3"/>
  <c r="H39" i="3" s="1"/>
  <c r="J39" i="3" s="1"/>
  <c r="E27" i="3"/>
  <c r="H27" i="3" s="1"/>
  <c r="J27" i="3" s="1"/>
  <c r="E15" i="3"/>
  <c r="H15" i="3" s="1"/>
  <c r="O15" i="3" s="1"/>
  <c r="P15" i="3" s="1"/>
  <c r="E3" i="3"/>
  <c r="H3" i="3" s="1"/>
  <c r="M81" i="3"/>
  <c r="M3" i="3"/>
  <c r="E86" i="3"/>
  <c r="H86" i="3" s="1"/>
  <c r="K86" i="3" s="1"/>
  <c r="E74" i="3"/>
  <c r="H74" i="3" s="1"/>
  <c r="K74" i="3" s="1"/>
  <c r="E62" i="3"/>
  <c r="H62" i="3" s="1"/>
  <c r="J62" i="3" s="1"/>
  <c r="E50" i="3"/>
  <c r="H50" i="3" s="1"/>
  <c r="K50" i="3" s="1"/>
  <c r="E38" i="3"/>
  <c r="H38" i="3" s="1"/>
  <c r="O38" i="3" s="1"/>
  <c r="P38" i="3" s="1"/>
  <c r="E26" i="3"/>
  <c r="H26" i="3" s="1"/>
  <c r="K26" i="3" s="1"/>
  <c r="E14" i="3"/>
  <c r="H14" i="3" s="1"/>
  <c r="J14" i="3" s="1"/>
  <c r="E2" i="3"/>
  <c r="H2" i="3" s="1"/>
  <c r="K2" i="3" s="1"/>
  <c r="M80" i="3"/>
  <c r="M64" i="3"/>
  <c r="M78" i="3"/>
  <c r="M63" i="3"/>
  <c r="M77" i="3"/>
  <c r="M72" i="3"/>
  <c r="M60" i="3"/>
  <c r="M59" i="3"/>
  <c r="M58" i="3"/>
  <c r="M57" i="3"/>
  <c r="M56" i="3"/>
  <c r="M79" i="3"/>
  <c r="M67" i="3"/>
  <c r="M53" i="3"/>
  <c r="M66" i="3"/>
  <c r="M47" i="3"/>
  <c r="M44" i="3"/>
  <c r="M41" i="3"/>
  <c r="M55" i="3"/>
  <c r="M35" i="3"/>
  <c r="M54" i="3"/>
  <c r="M33" i="3"/>
  <c r="M32" i="3"/>
  <c r="M51" i="3"/>
  <c r="M27" i="3"/>
  <c r="M50" i="3"/>
  <c r="M21" i="3"/>
  <c r="M49" i="3"/>
  <c r="M15" i="3"/>
  <c r="N15" i="3" s="1"/>
  <c r="M48" i="3"/>
  <c r="M14" i="3"/>
  <c r="N14" i="3" s="1"/>
  <c r="R15" i="3" s="1"/>
  <c r="M11" i="3"/>
  <c r="M46" i="3"/>
  <c r="M4" i="3"/>
  <c r="M45" i="3"/>
  <c r="M43" i="3"/>
  <c r="M31" i="3"/>
  <c r="M13" i="3"/>
  <c r="M42" i="3"/>
  <c r="M30" i="3"/>
  <c r="M12" i="3"/>
  <c r="M52" i="3"/>
  <c r="M40" i="3"/>
  <c r="M26" i="3"/>
  <c r="M10" i="3"/>
  <c r="M39" i="3"/>
  <c r="M25" i="3"/>
  <c r="M9" i="3"/>
  <c r="M38" i="3"/>
  <c r="M24" i="3"/>
  <c r="M8" i="3"/>
  <c r="M37" i="3"/>
  <c r="M23" i="3"/>
  <c r="M7" i="3"/>
  <c r="M36" i="3"/>
  <c r="M22" i="3"/>
  <c r="M34" i="3"/>
  <c r="M18" i="3"/>
  <c r="M20" i="3"/>
  <c r="M6" i="3"/>
  <c r="M19" i="3"/>
  <c r="M29" i="3"/>
  <c r="M17" i="3"/>
  <c r="M5" i="3"/>
  <c r="M28" i="3"/>
  <c r="M16" i="3"/>
  <c r="I9" i="3"/>
  <c r="B12" i="4"/>
  <c r="B11" i="4"/>
  <c r="B14" i="4" s="1"/>
  <c r="B15" i="4"/>
  <c r="J66" i="3"/>
  <c r="I5" i="3"/>
  <c r="F93" i="3"/>
  <c r="J46" i="3"/>
  <c r="J42" i="3"/>
  <c r="K61" i="3"/>
  <c r="K53" i="3"/>
  <c r="K49" i="3"/>
  <c r="K41" i="3"/>
  <c r="K29" i="3"/>
  <c r="K21" i="3"/>
  <c r="K13" i="3"/>
  <c r="I53" i="3"/>
  <c r="I45" i="3"/>
  <c r="I41" i="3"/>
  <c r="I37" i="3"/>
  <c r="I13" i="3"/>
  <c r="K81" i="3"/>
  <c r="E93" i="3"/>
  <c r="I88" i="3"/>
  <c r="I84" i="3"/>
  <c r="I80" i="3"/>
  <c r="I76" i="3"/>
  <c r="I72" i="3"/>
  <c r="I68" i="3"/>
  <c r="I64" i="3"/>
  <c r="I60" i="3"/>
  <c r="I56" i="3"/>
  <c r="I52" i="3"/>
  <c r="I48" i="3"/>
  <c r="I44" i="3"/>
  <c r="I40" i="3"/>
  <c r="I36" i="3"/>
  <c r="I32" i="3"/>
  <c r="I28" i="3"/>
  <c r="I24" i="3"/>
  <c r="I20" i="3"/>
  <c r="I16" i="3"/>
  <c r="I12" i="3"/>
  <c r="I8" i="3"/>
  <c r="I4" i="3"/>
  <c r="K73" i="3"/>
  <c r="F92" i="3"/>
  <c r="K66" i="3"/>
  <c r="K54" i="3"/>
  <c r="K46" i="3"/>
  <c r="K42" i="3"/>
  <c r="K38" i="3"/>
  <c r="K34" i="3"/>
  <c r="K30" i="3"/>
  <c r="K18" i="3"/>
  <c r="I89" i="3"/>
  <c r="I85" i="3"/>
  <c r="I81" i="3"/>
  <c r="I77" i="3"/>
  <c r="I73" i="3"/>
  <c r="I69" i="3"/>
  <c r="I65" i="3"/>
  <c r="I61" i="3"/>
  <c r="I57" i="3"/>
  <c r="I49" i="3"/>
  <c r="I33" i="3"/>
  <c r="I29" i="3"/>
  <c r="I25" i="3"/>
  <c r="I21" i="3"/>
  <c r="I17" i="3"/>
  <c r="I87" i="3"/>
  <c r="I71" i="3"/>
  <c r="I55" i="3"/>
  <c r="I47" i="3"/>
  <c r="I43" i="3"/>
  <c r="I31" i="3"/>
  <c r="I27" i="3"/>
  <c r="I19" i="3"/>
  <c r="I15" i="3"/>
  <c r="I11" i="3"/>
  <c r="I7" i="3"/>
  <c r="I3" i="3"/>
  <c r="E92" i="3"/>
  <c r="J34" i="3"/>
  <c r="I91" i="3"/>
  <c r="I67" i="3"/>
  <c r="I35" i="3"/>
  <c r="I79" i="3"/>
  <c r="I63" i="3"/>
  <c r="I39" i="3"/>
  <c r="I83" i="3"/>
  <c r="I75" i="3"/>
  <c r="I59" i="3"/>
  <c r="I51" i="3"/>
  <c r="I23" i="3"/>
  <c r="K79" i="3"/>
  <c r="K71" i="3"/>
  <c r="K67" i="3"/>
  <c r="K63" i="3"/>
  <c r="K55" i="3"/>
  <c r="K23" i="3"/>
  <c r="K15" i="3"/>
  <c r="K11" i="3"/>
  <c r="K3" i="3"/>
  <c r="I90" i="3"/>
  <c r="I86" i="3"/>
  <c r="I82" i="3"/>
  <c r="I78" i="3"/>
  <c r="I74" i="3"/>
  <c r="I70" i="3"/>
  <c r="I66" i="3"/>
  <c r="I62" i="3"/>
  <c r="I58" i="3"/>
  <c r="I54" i="3"/>
  <c r="I50" i="3"/>
  <c r="I46" i="3"/>
  <c r="I42" i="3"/>
  <c r="I38" i="3"/>
  <c r="I34" i="3"/>
  <c r="I30" i="3"/>
  <c r="I26" i="3"/>
  <c r="I22" i="3"/>
  <c r="I18" i="3"/>
  <c r="I14" i="3"/>
  <c r="I10" i="3"/>
  <c r="I6" i="3"/>
  <c r="J38" i="3"/>
  <c r="J82" i="3"/>
  <c r="K88" i="3"/>
  <c r="K80" i="3"/>
  <c r="K68" i="3"/>
  <c r="K48" i="3"/>
  <c r="K40" i="3"/>
  <c r="K36" i="3"/>
  <c r="K28" i="3"/>
  <c r="K24" i="3"/>
  <c r="K16" i="3"/>
  <c r="K12" i="3"/>
  <c r="K4" i="3"/>
  <c r="J54" i="3"/>
  <c r="J6" i="3"/>
  <c r="J61" i="3"/>
  <c r="J53" i="3"/>
  <c r="J49" i="3"/>
  <c r="J41" i="3"/>
  <c r="J29" i="3"/>
  <c r="J21" i="3"/>
  <c r="J13" i="3"/>
  <c r="J5" i="3"/>
  <c r="I2" i="3"/>
  <c r="J88" i="3"/>
  <c r="J80" i="3"/>
  <c r="J68" i="3"/>
  <c r="J48" i="3"/>
  <c r="J40" i="3"/>
  <c r="J36" i="3"/>
  <c r="J32" i="3"/>
  <c r="J28" i="3"/>
  <c r="J24" i="3"/>
  <c r="J16" i="3"/>
  <c r="J79" i="3"/>
  <c r="J71" i="3"/>
  <c r="J67" i="3"/>
  <c r="J63" i="3"/>
  <c r="J55" i="3"/>
  <c r="J23" i="3"/>
  <c r="J15" i="3"/>
  <c r="J11" i="3"/>
  <c r="J3" i="3"/>
  <c r="K25" i="1"/>
  <c r="K33" i="1" s="1"/>
  <c r="K22" i="1"/>
  <c r="K15" i="1"/>
  <c r="E92" i="1"/>
  <c r="F92" i="1"/>
  <c r="D92" i="1"/>
  <c r="O58" i="3" l="1"/>
  <c r="P58" i="3" s="1"/>
  <c r="O7" i="3"/>
  <c r="P7" i="3" s="1"/>
  <c r="O62" i="3"/>
  <c r="P62" i="3" s="1"/>
  <c r="O75" i="3"/>
  <c r="P75" i="3" s="1"/>
  <c r="J37" i="3"/>
  <c r="O37" i="3"/>
  <c r="P37" i="3" s="1"/>
  <c r="J84" i="3"/>
  <c r="O84" i="3"/>
  <c r="P84" i="3" s="1"/>
  <c r="O12" i="3"/>
  <c r="P12" i="3" s="1"/>
  <c r="O90" i="3"/>
  <c r="P90" i="3" s="1"/>
  <c r="O87" i="3"/>
  <c r="P87" i="3" s="1"/>
  <c r="O43" i="3"/>
  <c r="P43" i="3" s="1"/>
  <c r="O39" i="3"/>
  <c r="P39" i="3" s="1"/>
  <c r="O59" i="3"/>
  <c r="P59" i="3" s="1"/>
  <c r="J72" i="3"/>
  <c r="O72" i="3"/>
  <c r="P72" i="3" s="1"/>
  <c r="J52" i="3"/>
  <c r="K60" i="3"/>
  <c r="O4" i="3"/>
  <c r="P4" i="3" s="1"/>
  <c r="O5" i="3"/>
  <c r="P5" i="3" s="1"/>
  <c r="O74" i="3"/>
  <c r="P74" i="3" s="1"/>
  <c r="O55" i="3"/>
  <c r="P55" i="3" s="1"/>
  <c r="O45" i="3"/>
  <c r="P45" i="3" s="1"/>
  <c r="O47" i="3"/>
  <c r="P47" i="3" s="1"/>
  <c r="O27" i="3"/>
  <c r="P27" i="3" s="1"/>
  <c r="J60" i="3"/>
  <c r="K64" i="3"/>
  <c r="K85" i="3"/>
  <c r="O85" i="3"/>
  <c r="P85" i="3" s="1"/>
  <c r="O10" i="3"/>
  <c r="P10" i="3" s="1"/>
  <c r="O17" i="3"/>
  <c r="P17" i="3" s="1"/>
  <c r="O67" i="3"/>
  <c r="P67" i="3" s="1"/>
  <c r="O8" i="3"/>
  <c r="P8" i="3" s="1"/>
  <c r="O57" i="3"/>
  <c r="P57" i="3" s="1"/>
  <c r="O29" i="3"/>
  <c r="P29" i="3" s="1"/>
  <c r="O79" i="3"/>
  <c r="P79" i="3" s="1"/>
  <c r="O14" i="3"/>
  <c r="P14" i="3" s="1"/>
  <c r="O69" i="3"/>
  <c r="P69" i="3" s="1"/>
  <c r="J10" i="3"/>
  <c r="O22" i="3"/>
  <c r="P22" i="3" s="1"/>
  <c r="O41" i="3"/>
  <c r="P41" i="3" s="1"/>
  <c r="O91" i="3"/>
  <c r="P91" i="3" s="1"/>
  <c r="O20" i="3"/>
  <c r="P20" i="3" s="1"/>
  <c r="O82" i="3"/>
  <c r="P82" i="3" s="1"/>
  <c r="J73" i="3"/>
  <c r="O73" i="3"/>
  <c r="P73" i="3" s="1"/>
  <c r="O53" i="3"/>
  <c r="P53" i="3" s="1"/>
  <c r="O6" i="3"/>
  <c r="P6" i="3" s="1"/>
  <c r="O44" i="3"/>
  <c r="P44" i="3" s="1"/>
  <c r="O26" i="3"/>
  <c r="P26" i="3" s="1"/>
  <c r="O83" i="3"/>
  <c r="P83" i="3" s="1"/>
  <c r="O65" i="3"/>
  <c r="P65" i="3" s="1"/>
  <c r="O18" i="3"/>
  <c r="P18" i="3" s="1"/>
  <c r="O32" i="3"/>
  <c r="P32" i="3" s="1"/>
  <c r="O2" i="3"/>
  <c r="P2" i="3" s="1"/>
  <c r="O3" i="3"/>
  <c r="P3" i="3" s="1"/>
  <c r="K25" i="3"/>
  <c r="O25" i="3"/>
  <c r="P25" i="3" s="1"/>
  <c r="K91" i="3"/>
  <c r="O77" i="3"/>
  <c r="P77" i="3" s="1"/>
  <c r="O30" i="3"/>
  <c r="P30" i="3" s="1"/>
  <c r="O81" i="3"/>
  <c r="P81" i="3" s="1"/>
  <c r="O51" i="3"/>
  <c r="P51" i="3" s="1"/>
  <c r="O9" i="3"/>
  <c r="P9" i="3" s="1"/>
  <c r="O35" i="3"/>
  <c r="P35" i="3" s="1"/>
  <c r="O78" i="3"/>
  <c r="P78" i="3" s="1"/>
  <c r="O52" i="3"/>
  <c r="P52" i="3" s="1"/>
  <c r="O89" i="3"/>
  <c r="P89" i="3" s="1"/>
  <c r="O56" i="3"/>
  <c r="P56" i="3" s="1"/>
  <c r="H82" i="2"/>
  <c r="K65" i="3"/>
  <c r="K72" i="3"/>
  <c r="K39" i="3"/>
  <c r="J22" i="3"/>
  <c r="J25" i="3"/>
  <c r="K47" i="3"/>
  <c r="K9" i="3"/>
  <c r="J26" i="3"/>
  <c r="K27" i="3"/>
  <c r="K76" i="3"/>
  <c r="J78" i="3"/>
  <c r="K77" i="3"/>
  <c r="H22" i="2"/>
  <c r="J2" i="3"/>
  <c r="K90" i="3"/>
  <c r="K84" i="3"/>
  <c r="K14" i="3"/>
  <c r="J51" i="3"/>
  <c r="K37" i="3"/>
  <c r="K35" i="3"/>
  <c r="K59" i="3"/>
  <c r="K89" i="3"/>
  <c r="H60" i="2"/>
  <c r="H26" i="2"/>
  <c r="H75" i="2"/>
  <c r="H29" i="2"/>
  <c r="H78" i="2"/>
  <c r="H32" i="2"/>
  <c r="H72" i="2"/>
  <c r="H38" i="2"/>
  <c r="H87" i="2"/>
  <c r="H41" i="2"/>
  <c r="H90" i="2"/>
  <c r="H44" i="2"/>
  <c r="H23" i="2"/>
  <c r="H84" i="2"/>
  <c r="H50" i="2"/>
  <c r="H4" i="2"/>
  <c r="H53" i="2"/>
  <c r="H7" i="2"/>
  <c r="H56" i="2"/>
  <c r="H35" i="2"/>
  <c r="H13" i="2"/>
  <c r="H62" i="2"/>
  <c r="H16" i="2"/>
  <c r="H65" i="2"/>
  <c r="H19" i="2"/>
  <c r="H68" i="2"/>
  <c r="H47" i="2"/>
  <c r="H25" i="2"/>
  <c r="H74" i="2"/>
  <c r="H28" i="2"/>
  <c r="H77" i="2"/>
  <c r="H31" i="2"/>
  <c r="H80" i="2"/>
  <c r="H59" i="2"/>
  <c r="H37" i="2"/>
  <c r="H86" i="2"/>
  <c r="H40" i="2"/>
  <c r="H89" i="2"/>
  <c r="H43" i="2"/>
  <c r="H81" i="2"/>
  <c r="H10" i="2"/>
  <c r="H71" i="2"/>
  <c r="H49" i="2"/>
  <c r="H3" i="2"/>
  <c r="H52" i="2"/>
  <c r="H6" i="2"/>
  <c r="H55" i="2"/>
  <c r="H9" i="2"/>
  <c r="H83" i="2"/>
  <c r="H61" i="2"/>
  <c r="H15" i="2"/>
  <c r="H64" i="2"/>
  <c r="H18" i="2"/>
  <c r="H67" i="2"/>
  <c r="H21" i="2"/>
  <c r="H34" i="2"/>
  <c r="H12" i="2"/>
  <c r="H73" i="2"/>
  <c r="H27" i="2"/>
  <c r="H76" i="2"/>
  <c r="H30" i="2"/>
  <c r="H79" i="2"/>
  <c r="H33" i="2"/>
  <c r="H46" i="2"/>
  <c r="H24" i="2"/>
  <c r="H85" i="2"/>
  <c r="H39" i="2"/>
  <c r="H88" i="2"/>
  <c r="H42" i="2"/>
  <c r="H91" i="2"/>
  <c r="H45" i="2"/>
  <c r="H58" i="2"/>
  <c r="H36" i="2"/>
  <c r="H2" i="2"/>
  <c r="H51" i="2"/>
  <c r="H5" i="2"/>
  <c r="H54" i="2"/>
  <c r="H8" i="2"/>
  <c r="H57" i="2"/>
  <c r="H70" i="2"/>
  <c r="H48" i="2"/>
  <c r="H14" i="2"/>
  <c r="H63" i="2"/>
  <c r="H17" i="2"/>
  <c r="H66" i="2"/>
  <c r="H20" i="2"/>
  <c r="H69" i="2"/>
  <c r="J5" i="2"/>
  <c r="J44" i="3"/>
  <c r="J17" i="3"/>
  <c r="K43" i="3"/>
  <c r="J69" i="3"/>
  <c r="J31" i="3"/>
  <c r="J56" i="3"/>
  <c r="J86" i="3"/>
  <c r="J57" i="3"/>
  <c r="J19" i="3"/>
  <c r="K7" i="3"/>
  <c r="J74" i="3"/>
  <c r="K20" i="3"/>
  <c r="K70" i="3"/>
  <c r="K87" i="3"/>
  <c r="K45" i="3"/>
  <c r="K62" i="3"/>
  <c r="K8" i="3"/>
  <c r="J50" i="3"/>
  <c r="J85" i="3"/>
  <c r="J33" i="3"/>
  <c r="G93" i="3"/>
  <c r="G92" i="3"/>
  <c r="K75" i="3"/>
  <c r="K58" i="3"/>
  <c r="K83" i="3"/>
  <c r="K92" i="3"/>
  <c r="H92" i="3"/>
  <c r="K23" i="1"/>
  <c r="K28" i="1" s="1"/>
  <c r="L28" i="1" s="1"/>
  <c r="K27" i="1"/>
  <c r="L27" i="1" s="1"/>
  <c r="R14" i="3" l="1"/>
  <c r="R16" i="3"/>
  <c r="I92" i="3"/>
  <c r="J92" i="3"/>
  <c r="K29" i="1"/>
  <c r="K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<sst xmlns="http://schemas.openxmlformats.org/spreadsheetml/2006/main" count="153" uniqueCount="111">
  <si>
    <t>X</t>
  </si>
  <si>
    <t>Z</t>
  </si>
  <si>
    <t>Y</t>
  </si>
  <si>
    <t>XY</t>
  </si>
  <si>
    <t>YZ</t>
  </si>
  <si>
    <t>XZ</t>
  </si>
  <si>
    <t>Предсказанные значения</t>
  </si>
  <si>
    <t>b0</t>
  </si>
  <si>
    <t>b1</t>
  </si>
  <si>
    <t>b2</t>
  </si>
  <si>
    <t>N</t>
  </si>
  <si>
    <t>Суммы</t>
  </si>
  <si>
    <t>Суммы квадратов</t>
  </si>
  <si>
    <t>Коэффициенты</t>
  </si>
  <si>
    <t>Значения</t>
  </si>
  <si>
    <t>Решая систему, получаем следующие коэффициенты</t>
  </si>
  <si>
    <t>Содержательный смысл</t>
  </si>
  <si>
    <t>где x1 = x, x2 = y (экзогенные переменные), y=z (эндогенная переменная)</t>
  </si>
  <si>
    <t>Это значение Z, когда все независимые переменные равны нулю. Свободный член - базовый уровень зависимой переменной</t>
  </si>
  <si>
    <t>Показывает, на сколько изменится Z при изменении X​ на единицу, при условии, что Y​ остаётся неизменным.</t>
  </si>
  <si>
    <t>По сути коэффициенты показывают частную производную (оно и понятно, ведь можем взять и продифференцировать)</t>
  </si>
  <si>
    <t>Остатки</t>
  </si>
  <si>
    <r>
      <t xml:space="preserve">Для построения линейной двухфакторной регрессии </t>
    </r>
    <r>
      <rPr>
        <b/>
        <sz val="11"/>
        <color theme="1"/>
        <rFont val="Calibri"/>
        <family val="2"/>
        <scheme val="minor"/>
      </rPr>
      <t>z = b0 + b1x + b2y</t>
    </r>
    <r>
      <rPr>
        <sz val="11"/>
        <color theme="1"/>
        <rFont val="Calibri"/>
        <family val="2"/>
        <scheme val="minor"/>
      </rPr>
      <t xml:space="preserve"> решим систему уравнений</t>
    </r>
  </si>
  <si>
    <t>Нормированные остатки</t>
  </si>
  <si>
    <t>Средняя ошибка аппроксимации (mae)</t>
  </si>
  <si>
    <t>Частный коэффициент эластичности Ex</t>
  </si>
  <si>
    <t>Частный коэффициент эластичности Ey</t>
  </si>
  <si>
    <t>Его влияние на результативный признак незначительно, так как |Ey| &lt; 1</t>
  </si>
  <si>
    <t>Его влияние на результативный признак существенно, так как |Ex| &gt;= 1</t>
  </si>
  <si>
    <t>Исследуем факторы на мультиколлинеарность, для этого найдём коэффициент корреляции rxy</t>
  </si>
  <si>
    <t>cov(x,y)</t>
  </si>
  <si>
    <t>Sx</t>
  </si>
  <si>
    <t>Sy</t>
  </si>
  <si>
    <t>rxy</t>
  </si>
  <si>
    <t>Отклонения X</t>
  </si>
  <si>
    <t>Отклонения Y</t>
  </si>
  <si>
    <t>Sx^2</t>
  </si>
  <si>
    <t>Sy^2</t>
  </si>
  <si>
    <t>Коэффициент, близкий к 1, говорит о близкой зависимости между переменными (что и говорилось во 2 лабораторной)!</t>
  </si>
  <si>
    <t>Коэффициент детерминации</t>
  </si>
  <si>
    <t>Отклонения Z</t>
  </si>
  <si>
    <t>Так как значение близко к 0, то модель слабо аппроксимирует данные</t>
  </si>
  <si>
    <t>Коэффициент парной корреляции rxy</t>
  </si>
  <si>
    <t>Коэффициент парной корреляции rxz</t>
  </si>
  <si>
    <t>Sz^2</t>
  </si>
  <si>
    <t>Коэффициент парной корреляции ryz</t>
  </si>
  <si>
    <t>Частный коэффициент корреляции r_zx/y</t>
  </si>
  <si>
    <t>Теснота связи низкая</t>
  </si>
  <si>
    <t>Частный коэффициент корреляции r_zy/x</t>
  </si>
  <si>
    <t>Проверим качество модели:</t>
  </si>
  <si>
    <t>F-статистика</t>
  </si>
  <si>
    <t>F-критическое</t>
  </si>
  <si>
    <t>Модель не линейная на уровне значимости alpha = 0.05</t>
  </si>
  <si>
    <t>Проверим качество коэффициентов:</t>
  </si>
  <si>
    <t>Высокая ошибка, учитывая значения Z (выходим за 8-10%)!</t>
  </si>
  <si>
    <t>t-b0</t>
  </si>
  <si>
    <t>t-b1</t>
  </si>
  <si>
    <t>t-b2</t>
  </si>
  <si>
    <t>t-критическое</t>
  </si>
  <si>
    <t>Вычисленные стандартные ошибки коэффициентов</t>
  </si>
  <si>
    <t>Отвергаем</t>
  </si>
  <si>
    <t>Принимаем</t>
  </si>
  <si>
    <t>Соответственно, приняли одну гипотезу о b0 не равном 0</t>
  </si>
  <si>
    <t>Не значим</t>
  </si>
  <si>
    <t>Значим (так как t-статистическое &gt; t-критическое)</t>
  </si>
  <si>
    <t>ln(X)</t>
  </si>
  <si>
    <t>ln(Y)</t>
  </si>
  <si>
    <t>ln(X)*ln(Y)</t>
  </si>
  <si>
    <t>Сумма</t>
  </si>
  <si>
    <t>Сумма квадратов</t>
  </si>
  <si>
    <t>Получающаяся система уравнений на коэффициенты</t>
  </si>
  <si>
    <t xml:space="preserve"> b2</t>
  </si>
  <si>
    <t>ln(b0)</t>
  </si>
  <si>
    <t>F1</t>
  </si>
  <si>
    <t>F2</t>
  </si>
  <si>
    <t>F3</t>
  </si>
  <si>
    <t>F4</t>
  </si>
  <si>
    <t>F5</t>
  </si>
  <si>
    <t>F6</t>
  </si>
  <si>
    <t>F7</t>
  </si>
  <si>
    <t>Общая сумма квадратов</t>
  </si>
  <si>
    <t>Q</t>
  </si>
  <si>
    <t>n</t>
  </si>
  <si>
    <t>m</t>
  </si>
  <si>
    <t>a</t>
  </si>
  <si>
    <t>Q1</t>
  </si>
  <si>
    <t>Квадратная общая сумма</t>
  </si>
  <si>
    <t>Q2</t>
  </si>
  <si>
    <t>nm</t>
  </si>
  <si>
    <t>S^2</t>
  </si>
  <si>
    <t>S_1^2</t>
  </si>
  <si>
    <t>S_2^2</t>
  </si>
  <si>
    <t>Количество</t>
  </si>
  <si>
    <t>alpha</t>
  </si>
  <si>
    <t>Квадрат общей суммы</t>
  </si>
  <si>
    <t>Принимаем гипотезу о равенстве средних значений при одинаковом количестве элементов на всех уровнях на уровне значимости alpha=a=0.05</t>
  </si>
  <si>
    <t>Принимаем гипотезу о равенстве средних значений при неодинаковом количестве элементов на всех уровнях на уровне значимости 0.01</t>
  </si>
  <si>
    <t>Показывает, на сколько изменится Z при изменении Y на единицу, при условии, что X​ остаётся неизменным.</t>
  </si>
  <si>
    <t>Смещённая Z'</t>
  </si>
  <si>
    <t>ln(X)*ln(|Z'|)</t>
  </si>
  <si>
    <t>ln(|Z'|)</t>
  </si>
  <si>
    <t>ln(Y)*ln(|Z'|)</t>
  </si>
  <si>
    <t>Экспоненциальная модель сводится к линейной смещением и логарифмированием</t>
  </si>
  <si>
    <t>c</t>
  </si>
  <si>
    <t>Sz'^2</t>
  </si>
  <si>
    <t>Предсказанные значения Z</t>
  </si>
  <si>
    <t>Предсказанные значения ln(Z')</t>
  </si>
  <si>
    <t>ln(Z')</t>
  </si>
  <si>
    <t>Отклонения ln(Z')</t>
  </si>
  <si>
    <t>Средняя ошибка аппроксимации Z (mae)</t>
  </si>
  <si>
    <t>Нормированные остатки для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</si>
</sst>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3" borderId="1" applyNumberFormat="0" applyAlignment="0" applyProtection="0"/>
  </cellStyleXfs>
  <cellXfs count="13">
    <xf numFmtId="0" fontId="0" fillId="0" borderId="0" xfId="0"/>
    <xf numFmtId="0" fontId="0" fillId="2" borderId="0" xfId="0" applyFill="1"/>
    <xf numFmtId="0" fontId="3" fillId="0" borderId="2" xfId="0" applyFont="1" applyBorder="1"/>
    <xf numFmtId="0" fontId="0" fillId="4" borderId="0" xfId="0" applyFill="1"/>
    <xf numFmtId="0" fontId="2" fillId="3" borderId="1" xfId="1"/>
    <xf numFmtId="0" fontId="2" fillId="3" borderId="0" xfId="1" applyBorder="1"/>
    <xf numFmtId="164" fontId="0" fillId="0" borderId="0" xfId="0" applyNumberFormat="1"/>
    <xf numFmtId="2" fontId="0" fillId="0" borderId="0" xfId="0" applyNumberFormat="1"/>
    <xf numFmtId="11" fontId="0" fillId="0" borderId="0" xfId="0" applyNumberFormat="1"/>
    <xf numFmtId="165" fontId="0" fillId="0" borderId="0" xfId="0" applyNumberFormat="1"/>
    <xf numFmtId="164" fontId="2" fillId="3" borderId="1" xfId="1" applyNumberFormat="1"/>
    <xf numFmtId="0" fontId="3" fillId="0" borderId="0" xfId="0" applyFont="1"/>
    <xf numFmtId="0" fontId="0" fillId="0" borderId="0" xfId="0" applyAlignment="1">
      <alignment horizontal="center" wrapText="1"/>
    </xf>
  </cellXfs>
  <cellStyles count="2">
    <cellStyle name="Вывод" xfId="1" builtinId="21"/>
    <cellStyle name="Обычный" xfId="0" builtinId="0"/>
  </cellStyles>
  <dxfs count="26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"/>
    </dxf>
    <dxf>
      <numFmt numFmtId="164" formatCode="0.000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13</xdr:col>
      <xdr:colOff>9525</xdr:colOff>
      <xdr:row>6</xdr:row>
      <xdr:rowOff>38238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6B2AD21-3B90-6B9E-3273-D080D8D7B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0" y="190500"/>
          <a:ext cx="4514850" cy="990738"/>
        </a:xfrm>
        <a:prstGeom prst="rect">
          <a:avLst/>
        </a:prstGeom>
      </xdr:spPr>
    </xdr:pic>
    <xdr:clientData/>
  </xdr:twoCellAnchor>
  <xdr:twoCellAnchor editAs="oneCell">
    <xdr:from>
      <xdr:col>13</xdr:col>
      <xdr:colOff>9524</xdr:colOff>
      <xdr:row>1</xdr:row>
      <xdr:rowOff>0</xdr:rowOff>
    </xdr:from>
    <xdr:to>
      <xdr:col>18</xdr:col>
      <xdr:colOff>302968</xdr:colOff>
      <xdr:row>7</xdr:row>
      <xdr:rowOff>19050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DD4373E-CB36-3D49-6E82-76CA6C258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3849" y="190500"/>
          <a:ext cx="3731969" cy="1162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98392</xdr:colOff>
      <xdr:row>1</xdr:row>
      <xdr:rowOff>13176</xdr:rowOff>
    </xdr:from>
    <xdr:ext cx="4264057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D8BA17-FD15-1F55-C331-45FD267B3959}"/>
            </a:ext>
          </a:extLst>
        </xdr:cNvPr>
        <xdr:cNvSpPr txBox="1"/>
      </xdr:nvSpPr>
      <xdr:spPr>
        <a:xfrm>
          <a:off x="14300167" y="203676"/>
          <a:ext cx="4264057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US" sz="1100" kern="1200"/>
            <a:t>ln</a:t>
          </a:r>
          <a:r>
            <a:rPr lang="en-US" sz="1100" kern="1200" baseline="0"/>
            <a:t> (z') = ln(b0)+b1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ln(x)+b2ln(y),    z'=z-min(z)+2=z+c</a:t>
          </a:r>
        </a:p>
      </xdr:txBody>
    </xdr:sp>
    <xdr:clientData/>
  </xdr:oneCellAnchor>
  <xdr:twoCellAnchor editAs="oneCell">
    <xdr:from>
      <xdr:col>16</xdr:col>
      <xdr:colOff>28575</xdr:colOff>
      <xdr:row>4</xdr:row>
      <xdr:rowOff>9525</xdr:rowOff>
    </xdr:from>
    <xdr:to>
      <xdr:col>23</xdr:col>
      <xdr:colOff>57860</xdr:colOff>
      <xdr:row>8</xdr:row>
      <xdr:rowOff>105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9B6C2FD-0C29-2DBA-085A-C765AFF5C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100" y="771525"/>
          <a:ext cx="5087060" cy="7525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25D9B-7A88-4030-85D1-67EC892B5505}" name="Таблица1" displayName="Таблица1" ref="B1:I92" totalsRowCount="1" totalsRowCellStyle="Обычный">
  <autoFilter ref="B1:I91" xr:uid="{C2325D9B-7A88-4030-85D1-67EC892B5505}"/>
  <tableColumns count="8">
    <tableColumn id="1" xr3:uid="{A95FFE75-AACE-4603-B4B2-F695272AB3D2}" name="X" totalsRowFunction="custom">
      <totalsRowFormula>SUM(B2:B91)</totalsRowFormula>
    </tableColumn>
    <tableColumn id="2" xr3:uid="{A67ADF79-0DCB-4B72-BD64-A056259B2488}" name="Y" totalsRowFunction="custom">
      <totalsRowFormula>SUM(C2:C91)</totalsRowFormula>
    </tableColumn>
    <tableColumn id="3" xr3:uid="{D7B2C74E-BA03-4FDD-BCEC-CC0B049E1F71}" name="XY" totalsRowFunction="custom">
      <calculatedColumnFormula>B2*C2</calculatedColumnFormula>
      <totalsRowFormula>SUM(D2:D91)</totalsRowFormula>
    </tableColumn>
    <tableColumn id="4" xr3:uid="{38E07DDA-BAAF-4DC3-9656-F68C5876241A}" name="XZ" totalsRowFunction="custom">
      <calculatedColumnFormula>B2*G2</calculatedColumnFormula>
      <totalsRowFormula>SUM(E2:E91)</totalsRowFormula>
    </tableColumn>
    <tableColumn id="5" xr3:uid="{6FF8D6D4-BDA5-439C-B982-467BFA9B0394}" name="YZ" totalsRowFunction="custom">
      <calculatedColumnFormula>C2*G2</calculatedColumnFormula>
      <totalsRowFormula>SUM(F2:F91)</totalsRowFormula>
    </tableColumn>
    <tableColumn id="6" xr3:uid="{63005D56-2D5B-4EAD-AB74-3842F8CE615D}" name="Z" totalsRowFunction="custom">
      <totalsRowFormula>SUM(G2:G91)</totalsRowFormula>
    </tableColumn>
    <tableColumn id="9" xr3:uid="{479B670C-6741-4852-BFAA-0E70BDBDC4A7}" name="Предсказанные значения" dataDxfId="25">
      <calculatedColumnFormula>$K$10+$K$11*Таблица1[[#This Row],[X]]+$K$12*Таблица1[[#This Row],[Y]]</calculatedColumnFormula>
    </tableColumn>
    <tableColumn id="7" xr3:uid="{68DC2746-321B-4416-929E-4555B3F738BF}" name="Остатки" dataDxfId="24" totalsRowDxfId="23">
      <calculatedColumnFormula>ABS(Таблица1[[#This Row],[Предсказанные значения]]-Таблица1[[#This Row],[Z]])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0DE239-E045-4123-947A-4DA597DF5552}" name="Таблица2" displayName="Таблица2" ref="A1:A91" totalsRowShown="0">
  <autoFilter ref="A1:A91" xr:uid="{990DE239-E045-4123-947A-4DA597DF5552}"/>
  <tableColumns count="1">
    <tableColumn id="1" xr3:uid="{646A1074-D70B-4532-81D4-6343393ED0A2}" name="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361714-994C-405B-AB5B-7F2F1EDEA381}" name="Таблица3" displayName="Таблица3" ref="A1:H91" totalsRowShown="0">
  <autoFilter ref="A1:H91" xr:uid="{42361714-994C-405B-AB5B-7F2F1EDEA381}"/>
  <tableColumns count="8">
    <tableColumn id="1" xr3:uid="{AEEFEC96-7D9B-4AE1-91C6-D0D3CC4E3A93}" name="X" dataDxfId="22"/>
    <tableColumn id="2" xr3:uid="{62D08CDA-F03D-44F4-B3F3-F89C4F6A16E4}" name="Y" dataDxfId="21"/>
    <tableColumn id="5" xr3:uid="{EA523F44-3009-4413-8A1E-CED239087ADE}" name="Z" dataDxfId="5"/>
    <tableColumn id="7" xr3:uid="{909B6096-649F-40FE-A552-7A359D640D21}" name="ln(Z')" dataDxfId="3">
      <calculatedColumnFormula>LN(Таблица3[[#This Row],[Z]]+exponential!$R$3)</calculatedColumnFormula>
    </tableColumn>
    <tableColumn id="3" xr3:uid="{54864918-E9AA-4DF1-8F12-FB0F55216E06}" name="Отклонения X" dataDxfId="4">
      <calculatedColumnFormula>A2-AVERAGE($A$2:$A$91)</calculatedColumnFormula>
    </tableColumn>
    <tableColumn id="4" xr3:uid="{C7018303-F7CA-4408-B602-05D1C52DE0AF}" name="Отклонения Y" dataDxfId="20">
      <calculatedColumnFormula>B2-AVERAGE($B$2:$B$91)</calculatedColumnFormula>
    </tableColumn>
    <tableColumn id="6" xr3:uid="{C412F0E1-FDB8-4E47-8EAB-D3A3CA400D83}" name="Отклонения Z" dataDxfId="8">
      <calculatedColumnFormula>Таблица3[[#This Row],[Z]]-AVERAGE(Таблица3[Z])</calculatedColumnFormula>
    </tableColumn>
    <tableColumn id="8" xr3:uid="{C21EC10B-5437-4B35-B9E4-C3F3776F7B79}" name="Отклонения ln(Z')" dataDxfId="7">
      <calculatedColumnFormula>Таблица3[[#This Row],[ln(Z'')]]-AVERAGE(Таблица3[ln(Z'')])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1236A3-B112-416E-855F-12421818CAAC}" name="Таблица4" displayName="Таблица4" ref="A1:P91" totalsRowShown="0">
  <autoFilter ref="A1:P91" xr:uid="{0B1236A3-B112-416E-855F-12421818CAAC}"/>
  <tableColumns count="16">
    <tableColumn id="1" xr3:uid="{3E275A3C-3C2F-48A0-B15A-A8799780CB73}" name="N"/>
    <tableColumn id="2" xr3:uid="{A9AD0D31-6BBA-4ACC-B9C2-3EC6E00AA878}" name="X" dataDxfId="19"/>
    <tableColumn id="3" xr3:uid="{2B72F068-A51C-431B-A75F-C842612B1E9E}" name="Y" dataDxfId="18"/>
    <tableColumn id="4" xr3:uid="{46120A38-27A2-41BD-822F-FC04B667C6C7}" name="Z" dataDxfId="17"/>
    <tableColumn id="14" xr3:uid="{437DA736-42B9-4423-A461-2462ED0C8D48}" name="Смещённая Z'" dataDxfId="10">
      <calculatedColumnFormula>Таблица4[[#This Row],[Z]]+$R$3</calculatedColumnFormula>
    </tableColumn>
    <tableColumn id="5" xr3:uid="{C46C5414-9385-4EEB-89B5-AF08378DB292}" name="ln(X)" dataDxfId="16">
      <calculatedColumnFormula>LN(ABS(B2))</calculatedColumnFormula>
    </tableColumn>
    <tableColumn id="6" xr3:uid="{2A74D932-A994-46E3-A585-A3CA7D1B9C97}" name="ln(Y)" dataDxfId="15">
      <calculatedColumnFormula>LN(ABS(C2))</calculatedColumnFormula>
    </tableColumn>
    <tableColumn id="7" xr3:uid="{6E432FD2-1179-4CCA-8049-D26ACBA8A6D2}" name="ln(|Z'|)" dataDxfId="11">
      <calculatedColumnFormula>LN(ABS(E2))</calculatedColumnFormula>
    </tableColumn>
    <tableColumn id="8" xr3:uid="{C3404154-93ED-4C08-8DB1-B8A40C51C8C6}" name="ln(X)*ln(Y)" dataDxfId="14">
      <calculatedColumnFormula>F2*G2</calculatedColumnFormula>
    </tableColumn>
    <tableColumn id="9" xr3:uid="{B6420F14-723B-40CA-9832-0868237B4436}" name="ln(X)*ln(|Z'|)" dataDxfId="13">
      <calculatedColumnFormula>F2*H2</calculatedColumnFormula>
    </tableColumn>
    <tableColumn id="10" xr3:uid="{BD5153CC-747F-4331-B0A8-A6FACDBA3BC1}" name="ln(Y)*ln(|Z'|)" dataDxfId="12">
      <calculatedColumnFormula>G2*H2</calculatedColumnFormula>
    </tableColumn>
    <tableColumn id="16" xr3:uid="{1FAFD9DC-BA67-40CE-A163-82DAD04797D5}" name="Предсказанные значения ln(Z')" dataDxfId="6">
      <calculatedColumnFormula>$R$10+$R$11*Таблица4[[#This Row],[ln(X)]]+$R$12*Таблица4[[#This Row],[ln(Y)]]</calculatedColumnFormula>
    </tableColumn>
    <tableColumn id="11" xr3:uid="{6850EC0E-C7ED-4994-A08B-5E0614FC1A80}" name="Предсказанные значения Z" dataDxfId="9">
      <calculatedColumnFormula>EXP($R$10)*Таблица4[[#This Row],[X]]^$R$11*Таблица4[[#This Row],[Y]]^$R$12-$R$3</calculatedColumnFormula>
    </tableColumn>
    <tableColumn id="17" xr3:uid="{E2D266F4-E8C6-41A1-9BED-D11C7E73854F}" name="Нормированные остатки для Z" dataDxfId="0">
      <calculatedColumnFormula>ABS((Таблица4[[#This Row],[Предсказанные значения Z]]-Таблица4[[#This Row],[Z]])/Таблица4[[#This Row],[Z]])</calculatedColumnFormula>
    </tableColumn>
    <tableColumn id="12" xr3:uid="{EE50EB9C-5782-41F3-9CC1-F478B777312F}" name="Остатки" dataDxfId="2">
      <calculatedColumnFormula>ABS(Таблица4[[#This Row],[ln(|Z''|)]]-Таблица4[[#This Row],[Предсказанные значения ln(Z'')]])</calculatedColumnFormula>
    </tableColumn>
    <tableColumn id="13" xr3:uid="{073823CE-07CE-4B29-B4AA-761C01C51529}" name="Нормированные остатки" dataDxfId="1">
      <calculatedColumnFormula>ABS(Таблица4[[#This Row],[Остатки]]/Таблица4[[#This Row],[ln(|Z''|)]])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940216-AB33-491B-B7D4-89949DEDEAA9}" name="Таблица5" displayName="Таблица5" ref="A1:H6" totalsRowCount="1">
  <autoFilter ref="A1:H5" xr:uid="{26940216-AB33-491B-B7D4-89949DEDEAA9}"/>
  <tableColumns count="8">
    <tableColumn id="1" xr3:uid="{B651521C-A0BC-40DE-BD30-61689E8ADE06}" name="N" totalsRowLabel="Сумма"/>
    <tableColumn id="2" xr3:uid="{9086C65B-7704-4293-96C3-86CDDD0827B6}" name="F1" totalsRowFunction="custom">
      <totalsRowFormula>SUM(Таблица5[F1])</totalsRowFormula>
    </tableColumn>
    <tableColumn id="3" xr3:uid="{0C4B715A-8445-473B-8EFF-CA579EC5DACC}" name="F2" totalsRowFunction="custom">
      <totalsRowFormula>SUM(Таблица5[F2])</totalsRowFormula>
    </tableColumn>
    <tableColumn id="4" xr3:uid="{98011460-5FF7-4FD7-91EB-A1AF8FD8733E}" name="F3" totalsRowFunction="custom">
      <totalsRowFormula>SUM(Таблица5[F3])</totalsRowFormula>
    </tableColumn>
    <tableColumn id="5" xr3:uid="{F7B4E665-D9DF-4EF5-BE3E-47C7609A6250}" name="F4" totalsRowFunction="custom">
      <totalsRowFormula>SUM(Таблица5[F4])</totalsRowFormula>
    </tableColumn>
    <tableColumn id="6" xr3:uid="{CE398EAB-C2E7-4C0D-B77D-E28C3623BD09}" name="F5" totalsRowFunction="custom">
      <totalsRowFormula>SUM(Таблица5[F5])</totalsRowFormula>
    </tableColumn>
    <tableColumn id="7" xr3:uid="{0CAB311B-FD6F-47AD-B0BA-0C21E16F8DC7}" name="F6" totalsRowFunction="custom">
      <totalsRowFormula>SUM(Таблица5[F6])</totalsRowFormula>
    </tableColumn>
    <tableColumn id="8" xr3:uid="{DBCF0605-F321-47D7-8FE7-EE7CE2D84993}" name="F7" totalsRowFunction="custom">
      <totalsRowFormula>SUM(Таблица5[F7])</totalsRow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17386A-BCAF-4146-91C0-420C0B8D8B96}" name="Таблица6" displayName="Таблица6" ref="A1:E7" totalsRowShown="0">
  <autoFilter ref="A1:E7" xr:uid="{0017386A-BCAF-4146-91C0-420C0B8D8B96}"/>
  <tableColumns count="5">
    <tableColumn id="1" xr3:uid="{BF9CE81E-4750-4EA2-AC62-7E6D7A977F74}" name="N"/>
    <tableColumn id="2" xr3:uid="{DFB60802-1C46-4DC7-8B4B-B8285926F895}" name="F1"/>
    <tableColumn id="3" xr3:uid="{4BCF282B-6CC7-40D3-938B-E8DEAA575F6D}" name="F2"/>
    <tableColumn id="4" xr3:uid="{6C0280DB-6E4A-4AAA-BFC3-77ADF7868229}" name="F3"/>
    <tableColumn id="5" xr3:uid="{D4FBCA50-60B2-4E3B-A31B-A29DF1B759CD}" name="F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384D-2D91-4587-BF2F-0E234DD295CC}">
  <dimension ref="A1:R93"/>
  <sheetViews>
    <sheetView workbookViewId="0">
      <selection activeCell="K20" sqref="K20"/>
    </sheetView>
  </sheetViews>
  <sheetFormatPr defaultRowHeight="15" x14ac:dyDescent="0.25"/>
  <cols>
    <col min="1" max="1" width="17.42578125" bestFit="1" customWidth="1"/>
    <col min="8" max="8" width="27.140625" bestFit="1" customWidth="1"/>
    <col min="10" max="10" width="39.28515625" customWidth="1"/>
    <col min="11" max="11" width="10" bestFit="1" customWidth="1"/>
    <col min="15" max="15" width="15" bestFit="1" customWidth="1"/>
  </cols>
  <sheetData>
    <row r="1" spans="1:12" x14ac:dyDescent="0.25">
      <c r="A1" t="s">
        <v>10</v>
      </c>
      <c r="B1" t="s">
        <v>0</v>
      </c>
      <c r="C1" t="s">
        <v>2</v>
      </c>
      <c r="D1" t="s">
        <v>3</v>
      </c>
      <c r="E1" t="s">
        <v>5</v>
      </c>
      <c r="F1" t="s">
        <v>4</v>
      </c>
      <c r="G1" t="s">
        <v>1</v>
      </c>
      <c r="H1" t="s">
        <v>6</v>
      </c>
      <c r="I1" t="s">
        <v>21</v>
      </c>
      <c r="J1" t="s">
        <v>22</v>
      </c>
    </row>
    <row r="2" spans="1:12" x14ac:dyDescent="0.25">
      <c r="A2">
        <v>1</v>
      </c>
      <c r="B2">
        <v>25</v>
      </c>
      <c r="C2">
        <v>233</v>
      </c>
      <c r="D2">
        <f t="shared" ref="D2:D33" si="0">B2*C2</f>
        <v>5825</v>
      </c>
      <c r="E2">
        <f t="shared" ref="E2:E33" si="1">B2*G2</f>
        <v>-175</v>
      </c>
      <c r="F2">
        <f t="shared" ref="F2:F33" si="2">C2*G2</f>
        <v>-1631</v>
      </c>
      <c r="G2">
        <v>-7</v>
      </c>
      <c r="H2">
        <f>$K$10+$K$11*Таблица1[[#This Row],[X]]+$K$12*Таблица1[[#This Row],[Y]]</f>
        <v>-5.8930000000000007</v>
      </c>
      <c r="I2">
        <f>ABS(Таблица1[[#This Row],[Предсказанные значения]]-Таблица1[[#This Row],[Z]])</f>
        <v>1.1069999999999993</v>
      </c>
    </row>
    <row r="3" spans="1:12" x14ac:dyDescent="0.25">
      <c r="A3">
        <v>2</v>
      </c>
      <c r="B3">
        <v>47</v>
      </c>
      <c r="C3">
        <v>432</v>
      </c>
      <c r="D3">
        <f t="shared" si="0"/>
        <v>20304</v>
      </c>
      <c r="E3">
        <f t="shared" si="1"/>
        <v>-282</v>
      </c>
      <c r="F3">
        <f t="shared" si="2"/>
        <v>-2592</v>
      </c>
      <c r="G3">
        <v>-6</v>
      </c>
      <c r="H3">
        <f>$K$10+$K$11*Таблица1[[#This Row],[X]]+$K$12*Таблица1[[#This Row],[Y]]</f>
        <v>-5.963000000000001</v>
      </c>
      <c r="I3">
        <f>ABS(Таблица1[[#This Row],[Предсказанные значения]]-Таблица1[[#This Row],[Z]])</f>
        <v>3.6999999999999034E-2</v>
      </c>
    </row>
    <row r="4" spans="1:12" x14ac:dyDescent="0.25">
      <c r="A4">
        <v>3</v>
      </c>
      <c r="B4">
        <v>42</v>
      </c>
      <c r="C4">
        <v>385</v>
      </c>
      <c r="D4">
        <f t="shared" si="0"/>
        <v>16170</v>
      </c>
      <c r="E4">
        <f t="shared" si="1"/>
        <v>-420</v>
      </c>
      <c r="F4">
        <f t="shared" si="2"/>
        <v>-3850</v>
      </c>
      <c r="G4">
        <v>-10</v>
      </c>
      <c r="H4">
        <f>$K$10+$K$11*Таблица1[[#This Row],[X]]+$K$12*Таблица1[[#This Row],[Y]]</f>
        <v>-5.7449999999999974</v>
      </c>
      <c r="I4">
        <f>ABS(Таблица1[[#This Row],[Предсказанные значения]]-Таблица1[[#This Row],[Z]])</f>
        <v>4.2550000000000026</v>
      </c>
    </row>
    <row r="5" spans="1:12" x14ac:dyDescent="0.25">
      <c r="A5">
        <v>4</v>
      </c>
      <c r="B5">
        <v>38</v>
      </c>
      <c r="C5">
        <v>347</v>
      </c>
      <c r="D5">
        <f t="shared" si="0"/>
        <v>13186</v>
      </c>
      <c r="E5">
        <f t="shared" si="1"/>
        <v>-38</v>
      </c>
      <c r="F5">
        <f t="shared" si="2"/>
        <v>-347</v>
      </c>
      <c r="G5">
        <v>-1</v>
      </c>
      <c r="H5">
        <f>$K$10+$K$11*Таблица1[[#This Row],[X]]+$K$12*Таблица1[[#This Row],[Y]]</f>
        <v>-5.5249999999999986</v>
      </c>
      <c r="I5">
        <f>ABS(Таблица1[[#This Row],[Предсказанные значения]]-Таблица1[[#This Row],[Z]])</f>
        <v>4.5249999999999986</v>
      </c>
    </row>
    <row r="6" spans="1:12" x14ac:dyDescent="0.25">
      <c r="A6">
        <v>5</v>
      </c>
      <c r="B6">
        <v>30</v>
      </c>
      <c r="C6">
        <v>274</v>
      </c>
      <c r="D6">
        <f t="shared" si="0"/>
        <v>8220</v>
      </c>
      <c r="E6">
        <f t="shared" si="1"/>
        <v>-60</v>
      </c>
      <c r="F6">
        <f t="shared" si="2"/>
        <v>-548</v>
      </c>
      <c r="G6">
        <v>-2</v>
      </c>
      <c r="H6">
        <f>$K$10+$K$11*Таблица1[[#This Row],[X]]+$K$12*Таблица1[[#This Row],[Y]]</f>
        <v>-5.4269999999999996</v>
      </c>
      <c r="I6">
        <f>ABS(Таблица1[[#This Row],[Предсказанные значения]]-Таблица1[[#This Row],[Z]])</f>
        <v>3.4269999999999996</v>
      </c>
    </row>
    <row r="7" spans="1:12" x14ac:dyDescent="0.25">
      <c r="A7">
        <v>6</v>
      </c>
      <c r="B7">
        <v>30</v>
      </c>
      <c r="C7">
        <v>276</v>
      </c>
      <c r="D7">
        <f t="shared" si="0"/>
        <v>8280</v>
      </c>
      <c r="E7">
        <f t="shared" si="1"/>
        <v>-180</v>
      </c>
      <c r="F7">
        <f t="shared" si="2"/>
        <v>-1656</v>
      </c>
      <c r="G7">
        <v>-6</v>
      </c>
      <c r="H7">
        <f>$K$10+$K$11*Таблица1[[#This Row],[X]]+$K$12*Таблица1[[#This Row],[Y]]</f>
        <v>-5.6550000000000011</v>
      </c>
      <c r="I7">
        <f>ABS(Таблица1[[#This Row],[Предсказанные значения]]-Таблица1[[#This Row],[Z]])</f>
        <v>0.34499999999999886</v>
      </c>
      <c r="J7" t="s">
        <v>17</v>
      </c>
    </row>
    <row r="8" spans="1:12" x14ac:dyDescent="0.25">
      <c r="A8">
        <v>7</v>
      </c>
      <c r="B8">
        <v>32</v>
      </c>
      <c r="C8">
        <v>294</v>
      </c>
      <c r="D8">
        <f t="shared" si="0"/>
        <v>9408</v>
      </c>
      <c r="E8">
        <f t="shared" si="1"/>
        <v>-192</v>
      </c>
      <c r="F8">
        <f t="shared" si="2"/>
        <v>-1764</v>
      </c>
      <c r="G8">
        <v>-6</v>
      </c>
      <c r="H8">
        <f>$K$10+$K$11*Таблица1[[#This Row],[X]]+$K$12*Таблица1[[#This Row],[Y]]</f>
        <v>-5.6509999999999962</v>
      </c>
      <c r="I8">
        <f>ABS(Таблица1[[#This Row],[Предсказанные значения]]-Таблица1[[#This Row],[Z]])</f>
        <v>0.34900000000000375</v>
      </c>
      <c r="J8" t="s">
        <v>15</v>
      </c>
    </row>
    <row r="9" spans="1:12" x14ac:dyDescent="0.25">
      <c r="A9">
        <v>8</v>
      </c>
      <c r="B9">
        <v>38</v>
      </c>
      <c r="C9">
        <v>348</v>
      </c>
      <c r="D9">
        <f t="shared" si="0"/>
        <v>13224</v>
      </c>
      <c r="E9">
        <f t="shared" si="1"/>
        <v>-190</v>
      </c>
      <c r="F9">
        <f t="shared" si="2"/>
        <v>-1740</v>
      </c>
      <c r="G9">
        <v>-5</v>
      </c>
      <c r="H9">
        <f>$K$10+$K$11*Таблица1[[#This Row],[X]]+$K$12*Таблица1[[#This Row],[Y]]</f>
        <v>-5.6390000000000029</v>
      </c>
      <c r="I9">
        <f>ABS(Таблица1[[#This Row],[Предсказанные значения]]-Таблица1[[#This Row],[Z]])</f>
        <v>0.6390000000000029</v>
      </c>
      <c r="J9" s="4" t="s">
        <v>13</v>
      </c>
      <c r="K9" s="4" t="s">
        <v>14</v>
      </c>
      <c r="L9" s="4" t="s">
        <v>16</v>
      </c>
    </row>
    <row r="10" spans="1:12" x14ac:dyDescent="0.25">
      <c r="A10">
        <v>9</v>
      </c>
      <c r="B10">
        <v>34</v>
      </c>
      <c r="C10">
        <v>315</v>
      </c>
      <c r="D10">
        <f t="shared" si="0"/>
        <v>10710</v>
      </c>
      <c r="E10">
        <f t="shared" si="1"/>
        <v>-340</v>
      </c>
      <c r="F10">
        <f t="shared" si="2"/>
        <v>-3150</v>
      </c>
      <c r="G10">
        <v>-10</v>
      </c>
      <c r="H10">
        <f>$K$10+$K$11*Таблица1[[#This Row],[X]]+$K$12*Таблица1[[#This Row],[Y]]</f>
        <v>-5.9890000000000043</v>
      </c>
      <c r="I10">
        <f>ABS(Таблица1[[#This Row],[Предсказанные значения]]-Таблица1[[#This Row],[Z]])</f>
        <v>4.0109999999999957</v>
      </c>
      <c r="J10" s="4" t="s">
        <v>7</v>
      </c>
      <c r="K10" s="4">
        <v>-5.0309999999999997</v>
      </c>
      <c r="L10" t="s">
        <v>18</v>
      </c>
    </row>
    <row r="11" spans="1:12" x14ac:dyDescent="0.25">
      <c r="A11">
        <v>10</v>
      </c>
      <c r="B11">
        <v>34</v>
      </c>
      <c r="C11">
        <v>307</v>
      </c>
      <c r="D11">
        <f t="shared" si="0"/>
        <v>10438</v>
      </c>
      <c r="E11">
        <f t="shared" si="1"/>
        <v>-136</v>
      </c>
      <c r="F11">
        <f t="shared" si="2"/>
        <v>-1228</v>
      </c>
      <c r="G11">
        <v>-4</v>
      </c>
      <c r="H11">
        <f>$K$10+$K$11*Таблица1[[#This Row],[X]]+$K$12*Таблица1[[#This Row],[Y]]</f>
        <v>-5.0770000000000053</v>
      </c>
      <c r="I11">
        <f>ABS(Таблица1[[#This Row],[Предсказанные значения]]-Таблица1[[#This Row],[Z]])</f>
        <v>1.0770000000000053</v>
      </c>
      <c r="J11" s="4" t="s">
        <v>8</v>
      </c>
      <c r="K11" s="4">
        <v>1.028</v>
      </c>
      <c r="L11" t="s">
        <v>19</v>
      </c>
    </row>
    <row r="12" spans="1:12" x14ac:dyDescent="0.25">
      <c r="A12">
        <v>11</v>
      </c>
      <c r="B12">
        <v>41</v>
      </c>
      <c r="C12">
        <v>377</v>
      </c>
      <c r="D12">
        <f t="shared" si="0"/>
        <v>15457</v>
      </c>
      <c r="E12">
        <f t="shared" si="1"/>
        <v>-369</v>
      </c>
      <c r="F12">
        <f t="shared" si="2"/>
        <v>-3393</v>
      </c>
      <c r="G12">
        <v>-9</v>
      </c>
      <c r="H12">
        <f>$K$10+$K$11*Таблица1[[#This Row],[X]]+$K$12*Таблица1[[#This Row],[Y]]</f>
        <v>-5.8609999999999971</v>
      </c>
      <c r="I12">
        <f>ABS(Таблица1[[#This Row],[Предсказанные значения]]-Таблица1[[#This Row],[Z]])</f>
        <v>3.1390000000000029</v>
      </c>
      <c r="J12" s="4" t="s">
        <v>9</v>
      </c>
      <c r="K12" s="4">
        <v>-0.114</v>
      </c>
      <c r="L12" t="s">
        <v>97</v>
      </c>
    </row>
    <row r="13" spans="1:12" x14ac:dyDescent="0.25">
      <c r="A13">
        <v>12</v>
      </c>
      <c r="B13">
        <v>37</v>
      </c>
      <c r="C13">
        <v>338</v>
      </c>
      <c r="D13">
        <f t="shared" si="0"/>
        <v>12506</v>
      </c>
      <c r="E13">
        <f t="shared" si="1"/>
        <v>-185</v>
      </c>
      <c r="F13">
        <f t="shared" si="2"/>
        <v>-1690</v>
      </c>
      <c r="G13">
        <v>-5</v>
      </c>
      <c r="H13">
        <f>$K$10+$K$11*Таблица1[[#This Row],[X]]+$K$12*Таблица1[[#This Row],[Y]]</f>
        <v>-5.527000000000001</v>
      </c>
      <c r="I13">
        <f>ABS(Таблица1[[#This Row],[Предсказанные значения]]-Таблица1[[#This Row],[Z]])</f>
        <v>0.52700000000000102</v>
      </c>
      <c r="J13" t="s">
        <v>20</v>
      </c>
    </row>
    <row r="14" spans="1:12" x14ac:dyDescent="0.25">
      <c r="A14">
        <v>13</v>
      </c>
      <c r="B14">
        <v>39</v>
      </c>
      <c r="C14">
        <v>353</v>
      </c>
      <c r="D14">
        <f t="shared" si="0"/>
        <v>13767</v>
      </c>
      <c r="E14">
        <f t="shared" si="1"/>
        <v>-273</v>
      </c>
      <c r="F14">
        <f t="shared" si="2"/>
        <v>-2471</v>
      </c>
      <c r="G14">
        <v>-7</v>
      </c>
      <c r="H14">
        <f>$K$10+$K$11*Таблица1[[#This Row],[X]]+$K$12*Таблица1[[#This Row],[Y]]</f>
        <v>-5.1810000000000045</v>
      </c>
      <c r="I14">
        <f>ABS(Таблица1[[#This Row],[Предсказанные значения]]-Таблица1[[#This Row],[Z]])</f>
        <v>1.8189999999999955</v>
      </c>
    </row>
    <row r="15" spans="1:12" x14ac:dyDescent="0.25">
      <c r="A15">
        <v>14</v>
      </c>
      <c r="B15">
        <v>36</v>
      </c>
      <c r="C15">
        <v>332</v>
      </c>
      <c r="D15">
        <f t="shared" si="0"/>
        <v>11952</v>
      </c>
      <c r="E15">
        <f t="shared" si="1"/>
        <v>-108</v>
      </c>
      <c r="F15">
        <f t="shared" si="2"/>
        <v>-996</v>
      </c>
      <c r="G15">
        <v>-3</v>
      </c>
      <c r="H15">
        <f>$K$10+$K$11*Таблица1[[#This Row],[X]]+$K$12*Таблица1[[#This Row],[Y]]</f>
        <v>-5.8709999999999951</v>
      </c>
      <c r="I15">
        <f>ABS(Таблица1[[#This Row],[Предсказанные значения]]-Таблица1[[#This Row],[Z]])</f>
        <v>2.8709999999999951</v>
      </c>
      <c r="J15" s="5" t="s">
        <v>24</v>
      </c>
      <c r="K15">
        <f>SUM(Таблица1[Остатки])/COUNT(Таблица1[Остатки])</f>
        <v>2.5504666666666647</v>
      </c>
      <c r="L15" t="s">
        <v>54</v>
      </c>
    </row>
    <row r="16" spans="1:12" x14ac:dyDescent="0.25">
      <c r="A16">
        <v>15</v>
      </c>
      <c r="B16">
        <v>34</v>
      </c>
      <c r="C16">
        <v>307</v>
      </c>
      <c r="D16">
        <f t="shared" si="0"/>
        <v>10438</v>
      </c>
      <c r="E16">
        <f t="shared" si="1"/>
        <v>-340</v>
      </c>
      <c r="F16">
        <f t="shared" si="2"/>
        <v>-3070</v>
      </c>
      <c r="G16">
        <v>-10</v>
      </c>
      <c r="H16">
        <f>$K$10+$K$11*Таблица1[[#This Row],[X]]+$K$12*Таблица1[[#This Row],[Y]]</f>
        <v>-5.0770000000000053</v>
      </c>
      <c r="I16">
        <f>ABS(Таблица1[[#This Row],[Предсказанные значения]]-Таблица1[[#This Row],[Z]])</f>
        <v>4.9229999999999947</v>
      </c>
      <c r="J16" s="5" t="s">
        <v>25</v>
      </c>
      <c r="K16">
        <f>K11*AVERAGE(Таблица1[X])/AVERAGE(Таблица1[Z])</f>
        <v>-6.6633467741935481</v>
      </c>
      <c r="L16" t="s">
        <v>28</v>
      </c>
    </row>
    <row r="17" spans="1:16" x14ac:dyDescent="0.25">
      <c r="A17">
        <v>16</v>
      </c>
      <c r="B17">
        <v>29</v>
      </c>
      <c r="C17">
        <v>264</v>
      </c>
      <c r="D17">
        <f t="shared" si="0"/>
        <v>7656</v>
      </c>
      <c r="E17">
        <f t="shared" si="1"/>
        <v>-29</v>
      </c>
      <c r="F17">
        <f t="shared" si="2"/>
        <v>-264</v>
      </c>
      <c r="G17">
        <v>-1</v>
      </c>
      <c r="H17">
        <f>$K$10+$K$11*Таблица1[[#This Row],[X]]+$K$12*Таблица1[[#This Row],[Y]]</f>
        <v>-5.3149999999999977</v>
      </c>
      <c r="I17">
        <f>ABS(Таблица1[[#This Row],[Предсказанные значения]]-Таблица1[[#This Row],[Z]])</f>
        <v>4.3149999999999977</v>
      </c>
      <c r="J17" s="5" t="s">
        <v>26</v>
      </c>
      <c r="K17">
        <f>K12*AVERAGE(Таблица1[X])/AVERAGE(Таблица1[Z])</f>
        <v>0.7389314516129033</v>
      </c>
      <c r="L17" t="s">
        <v>27</v>
      </c>
    </row>
    <row r="18" spans="1:16" x14ac:dyDescent="0.25">
      <c r="A18">
        <v>17</v>
      </c>
      <c r="B18">
        <v>31</v>
      </c>
      <c r="C18">
        <v>285</v>
      </c>
      <c r="D18">
        <f t="shared" si="0"/>
        <v>8835</v>
      </c>
      <c r="E18">
        <f t="shared" si="1"/>
        <v>-93</v>
      </c>
      <c r="F18">
        <f t="shared" si="2"/>
        <v>-855</v>
      </c>
      <c r="G18">
        <v>-3</v>
      </c>
      <c r="H18">
        <f>$K$10+$K$11*Таблица1[[#This Row],[X]]+$K$12*Таблица1[[#This Row],[Y]]</f>
        <v>-5.6529999999999987</v>
      </c>
      <c r="I18">
        <f>ABS(Таблица1[[#This Row],[Предсказанные значения]]-Таблица1[[#This Row],[Z]])</f>
        <v>2.6529999999999987</v>
      </c>
    </row>
    <row r="19" spans="1:16" x14ac:dyDescent="0.25">
      <c r="A19">
        <v>18</v>
      </c>
      <c r="B19">
        <v>41</v>
      </c>
      <c r="C19">
        <v>377</v>
      </c>
      <c r="D19">
        <f t="shared" si="0"/>
        <v>15457</v>
      </c>
      <c r="E19">
        <f t="shared" si="1"/>
        <v>-205</v>
      </c>
      <c r="F19">
        <f t="shared" si="2"/>
        <v>-1885</v>
      </c>
      <c r="G19">
        <v>-5</v>
      </c>
      <c r="H19">
        <f>$K$10+$K$11*Таблица1[[#This Row],[X]]+$K$12*Таблица1[[#This Row],[Y]]</f>
        <v>-5.8609999999999971</v>
      </c>
      <c r="I19">
        <f>ABS(Таблица1[[#This Row],[Предсказанные значения]]-Таблица1[[#This Row],[Z]])</f>
        <v>0.8609999999999971</v>
      </c>
      <c r="J19" s="5" t="s">
        <v>29</v>
      </c>
    </row>
    <row r="20" spans="1:16" x14ac:dyDescent="0.25">
      <c r="A20">
        <v>19</v>
      </c>
      <c r="B20">
        <v>15</v>
      </c>
      <c r="C20">
        <v>137</v>
      </c>
      <c r="D20">
        <f t="shared" si="0"/>
        <v>2055</v>
      </c>
      <c r="E20">
        <f t="shared" si="1"/>
        <v>-75</v>
      </c>
      <c r="F20">
        <f t="shared" si="2"/>
        <v>-685</v>
      </c>
      <c r="G20">
        <v>-5</v>
      </c>
      <c r="H20">
        <f>$K$10+$K$11*Таблица1[[#This Row],[X]]+$K$12*Таблица1[[#This Row],[Y]]</f>
        <v>-5.229000000000001</v>
      </c>
      <c r="I20">
        <f>ABS(Таблица1[[#This Row],[Предсказанные значения]]-Таблица1[[#This Row],[Z]])</f>
        <v>0.22900000000000098</v>
      </c>
      <c r="J20" s="5" t="s">
        <v>30</v>
      </c>
      <c r="K20" s="6">
        <f>COVAR(Таблица1[X], Таблица1[Y])*COUNT(Таблица1[X])</f>
        <v>63037.388888888883</v>
      </c>
    </row>
    <row r="21" spans="1:16" x14ac:dyDescent="0.25">
      <c r="A21">
        <v>20</v>
      </c>
      <c r="B21">
        <v>27</v>
      </c>
      <c r="C21">
        <v>245</v>
      </c>
      <c r="D21">
        <f t="shared" si="0"/>
        <v>6615</v>
      </c>
      <c r="E21">
        <f t="shared" si="1"/>
        <v>-27</v>
      </c>
      <c r="F21">
        <f t="shared" si="2"/>
        <v>-245</v>
      </c>
      <c r="G21">
        <v>-1</v>
      </c>
      <c r="H21">
        <f>$K$10+$K$11*Таблица1[[#This Row],[X]]+$K$12*Таблица1[[#This Row],[Y]]</f>
        <v>-5.2049999999999983</v>
      </c>
      <c r="I21">
        <f>ABS(Таблица1[[#This Row],[Предсказанные значения]]-Таблица1[[#This Row],[Z]])</f>
        <v>4.2049999999999983</v>
      </c>
      <c r="J21" s="5" t="s">
        <v>31</v>
      </c>
      <c r="K21" s="6">
        <f>SQRT(help_linear!J2)</f>
        <v>83.630470257888391</v>
      </c>
    </row>
    <row r="22" spans="1:16" x14ac:dyDescent="0.25">
      <c r="A22">
        <v>21</v>
      </c>
      <c r="B22">
        <v>46</v>
      </c>
      <c r="C22">
        <v>421</v>
      </c>
      <c r="D22">
        <f t="shared" si="0"/>
        <v>19366</v>
      </c>
      <c r="E22">
        <f t="shared" si="1"/>
        <v>46</v>
      </c>
      <c r="F22">
        <f t="shared" si="2"/>
        <v>421</v>
      </c>
      <c r="G22">
        <v>1</v>
      </c>
      <c r="H22">
        <f>$K$10+$K$11*Таблица1[[#This Row],[X]]+$K$12*Таблица1[[#This Row],[Y]]</f>
        <v>-5.7369999999999948</v>
      </c>
      <c r="I22">
        <f>ABS(Таблица1[[#This Row],[Предсказанные значения]]-Таблица1[[#This Row],[Z]])</f>
        <v>6.7369999999999948</v>
      </c>
      <c r="J22" s="5" t="s">
        <v>32</v>
      </c>
      <c r="K22" s="6">
        <f>SQRT(help_linear!J3)</f>
        <v>754.13415399531027</v>
      </c>
    </row>
    <row r="23" spans="1:16" x14ac:dyDescent="0.25">
      <c r="A23">
        <v>22</v>
      </c>
      <c r="B23">
        <v>34</v>
      </c>
      <c r="C23">
        <v>313</v>
      </c>
      <c r="D23">
        <f t="shared" si="0"/>
        <v>10642</v>
      </c>
      <c r="E23">
        <f t="shared" si="1"/>
        <v>-340</v>
      </c>
      <c r="F23">
        <f t="shared" si="2"/>
        <v>-3130</v>
      </c>
      <c r="G23">
        <v>-10</v>
      </c>
      <c r="H23">
        <f>$K$10+$K$11*Таблица1[[#This Row],[X]]+$K$12*Таблица1[[#This Row],[Y]]</f>
        <v>-5.7610000000000028</v>
      </c>
      <c r="I23">
        <f>ABS(Таблица1[[#This Row],[Предсказанные значения]]-Таблица1[[#This Row],[Z]])</f>
        <v>4.2389999999999972</v>
      </c>
      <c r="J23" s="5" t="s">
        <v>33</v>
      </c>
      <c r="K23" s="9">
        <f>K20/(K21*K22)</f>
        <v>0.99950522050158075</v>
      </c>
      <c r="L23" t="s">
        <v>38</v>
      </c>
    </row>
    <row r="24" spans="1:16" x14ac:dyDescent="0.25">
      <c r="A24">
        <v>23</v>
      </c>
      <c r="B24">
        <v>39</v>
      </c>
      <c r="C24">
        <v>359</v>
      </c>
      <c r="D24">
        <f t="shared" si="0"/>
        <v>14001</v>
      </c>
      <c r="E24">
        <f t="shared" si="1"/>
        <v>-117</v>
      </c>
      <c r="F24">
        <f t="shared" si="2"/>
        <v>-1077</v>
      </c>
      <c r="G24">
        <v>-3</v>
      </c>
      <c r="H24">
        <f>$K$10+$K$11*Таблица1[[#This Row],[X]]+$K$12*Таблица1[[#This Row],[Y]]</f>
        <v>-5.865000000000002</v>
      </c>
      <c r="I24">
        <f>ABS(Таблица1[[#This Row],[Предсказанные значения]]-Таблица1[[#This Row],[Z]])</f>
        <v>2.865000000000002</v>
      </c>
    </row>
    <row r="25" spans="1:16" x14ac:dyDescent="0.25">
      <c r="A25">
        <v>24</v>
      </c>
      <c r="B25">
        <v>49</v>
      </c>
      <c r="C25">
        <v>443</v>
      </c>
      <c r="D25">
        <f t="shared" si="0"/>
        <v>21707</v>
      </c>
      <c r="E25">
        <f t="shared" si="1"/>
        <v>-441</v>
      </c>
      <c r="F25">
        <f t="shared" si="2"/>
        <v>-3987</v>
      </c>
      <c r="G25">
        <v>-9</v>
      </c>
      <c r="H25">
        <f>$K$10+$K$11*Таблица1[[#This Row],[X]]+$K$12*Таблица1[[#This Row],[Y]]</f>
        <v>-5.1610000000000014</v>
      </c>
      <c r="I25">
        <f>ABS(Таблица1[[#This Row],[Предсказанные значения]]-Таблица1[[#This Row],[Z]])</f>
        <v>3.8389999999999986</v>
      </c>
      <c r="J25" s="5" t="s">
        <v>39</v>
      </c>
      <c r="K25" s="8">
        <f>1-SUMSQ(Таблица1[Остатки])/SUMSQ(Таблица3[Отклонения Z])</f>
        <v>8.5999368812530452E-3</v>
      </c>
      <c r="L25" t="s">
        <v>41</v>
      </c>
    </row>
    <row r="26" spans="1:16" x14ac:dyDescent="0.25">
      <c r="A26">
        <v>25</v>
      </c>
      <c r="B26">
        <v>22</v>
      </c>
      <c r="C26">
        <v>201</v>
      </c>
      <c r="D26">
        <f t="shared" si="0"/>
        <v>4422</v>
      </c>
      <c r="E26">
        <f t="shared" si="1"/>
        <v>-132</v>
      </c>
      <c r="F26">
        <f t="shared" si="2"/>
        <v>-1206</v>
      </c>
      <c r="G26">
        <v>-6</v>
      </c>
      <c r="H26">
        <f>$K$10+$K$11*Таблица1[[#This Row],[X]]+$K$12*Таблица1[[#This Row],[Y]]</f>
        <v>-5.3290000000000006</v>
      </c>
      <c r="I26">
        <f>ABS(Таблица1[[#This Row],[Предсказанные значения]]-Таблица1[[#This Row],[Z]])</f>
        <v>0.67099999999999937</v>
      </c>
      <c r="J26" s="5" t="s">
        <v>43</v>
      </c>
      <c r="K26" s="8">
        <f>COVAR(Таблица1[X],Таблица1[Z])*COUNT(Таблица1[X])/(K21*SQRT(help_linear!J4))</f>
        <v>2.5542176343975455E-3</v>
      </c>
      <c r="L26" s="8">
        <f>K26*SQRT(COUNT(Таблица1[X])-2)/SQRT(1-K26^2)</f>
        <v>2.3960763453264342E-2</v>
      </c>
      <c r="M26" t="s">
        <v>63</v>
      </c>
    </row>
    <row r="27" spans="1:16" x14ac:dyDescent="0.25">
      <c r="A27">
        <v>26</v>
      </c>
      <c r="B27">
        <v>48</v>
      </c>
      <c r="C27">
        <v>440</v>
      </c>
      <c r="D27">
        <f t="shared" si="0"/>
        <v>21120</v>
      </c>
      <c r="E27">
        <f t="shared" si="1"/>
        <v>-96</v>
      </c>
      <c r="F27">
        <f t="shared" si="2"/>
        <v>-880</v>
      </c>
      <c r="G27">
        <v>-2</v>
      </c>
      <c r="H27">
        <f>$K$10+$K$11*Таблица1[[#This Row],[X]]+$K$12*Таблица1[[#This Row],[Y]]</f>
        <v>-5.8470000000000013</v>
      </c>
      <c r="I27">
        <f>ABS(Таблица1[[#This Row],[Предсказанные значения]]-Таблица1[[#This Row],[Z]])</f>
        <v>3.8470000000000013</v>
      </c>
      <c r="J27" s="5" t="s">
        <v>45</v>
      </c>
      <c r="K27" s="8">
        <f>COVAR(Таблица1[Y],Таблица1[Z])*COUNT(Таблица1[Y])/(K22*SQRT(help_linear!J4))</f>
        <v>-3.6620508206179565E-4</v>
      </c>
      <c r="L27" s="8">
        <f>K27*SQRT(COUNT(Таблица1[X])-2)/SQRT(1-K27^2)</f>
        <v>-3.4353084068081781E-3</v>
      </c>
      <c r="M27" t="s">
        <v>63</v>
      </c>
    </row>
    <row r="28" spans="1:16" x14ac:dyDescent="0.25">
      <c r="A28">
        <v>27</v>
      </c>
      <c r="B28">
        <v>30</v>
      </c>
      <c r="C28">
        <v>274</v>
      </c>
      <c r="D28">
        <f t="shared" si="0"/>
        <v>8220</v>
      </c>
      <c r="E28">
        <f t="shared" si="1"/>
        <v>-60</v>
      </c>
      <c r="F28">
        <f t="shared" si="2"/>
        <v>-548</v>
      </c>
      <c r="G28">
        <v>-2</v>
      </c>
      <c r="H28">
        <f>$K$10+$K$11*Таблица1[[#This Row],[X]]+$K$12*Таблица1[[#This Row],[Y]]</f>
        <v>-5.4269999999999996</v>
      </c>
      <c r="I28">
        <f>ABS(Таблица1[[#This Row],[Предсказанные значения]]-Таблица1[[#This Row],[Z]])</f>
        <v>3.4269999999999996</v>
      </c>
      <c r="J28" s="5" t="s">
        <v>42</v>
      </c>
      <c r="K28" s="9">
        <f>K23</f>
        <v>0.99950522050158075</v>
      </c>
      <c r="L28" s="7">
        <f>K28*SQRT(COUNT(Таблица1[X])-2)/SQRT(1-K28^2)</f>
        <v>298.09815199458006</v>
      </c>
      <c r="M28" t="s">
        <v>64</v>
      </c>
    </row>
    <row r="29" spans="1:16" ht="15" customHeight="1" x14ac:dyDescent="0.25">
      <c r="A29">
        <v>28</v>
      </c>
      <c r="B29">
        <v>29</v>
      </c>
      <c r="C29">
        <v>261</v>
      </c>
      <c r="D29">
        <f t="shared" si="0"/>
        <v>7569</v>
      </c>
      <c r="E29">
        <f t="shared" si="1"/>
        <v>-232</v>
      </c>
      <c r="F29">
        <f t="shared" si="2"/>
        <v>-2088</v>
      </c>
      <c r="G29">
        <v>-8</v>
      </c>
      <c r="H29">
        <f>$K$10+$K$11*Таблица1[[#This Row],[X]]+$K$12*Таблица1[[#This Row],[Y]]</f>
        <v>-4.972999999999999</v>
      </c>
      <c r="I29">
        <f>ABS(Таблица1[[#This Row],[Предсказанные значения]]-Таблица1[[#This Row],[Z]])</f>
        <v>3.027000000000001</v>
      </c>
      <c r="J29" s="5" t="s">
        <v>46</v>
      </c>
      <c r="K29" s="9">
        <f>(K26-K27*K28)/(SQRT((1-K27^2)*(1-K28^2)))</f>
        <v>9.2843538095127798E-2</v>
      </c>
      <c r="L29" s="12" t="s">
        <v>47</v>
      </c>
      <c r="M29" s="12"/>
      <c r="N29" s="12"/>
      <c r="O29" s="4" t="s">
        <v>58</v>
      </c>
      <c r="P29" s="10">
        <f>_xlfn.T.INV(0.95,COUNT(Таблица1[X])-2)</f>
        <v>1.662354029166899</v>
      </c>
    </row>
    <row r="30" spans="1:16" x14ac:dyDescent="0.25">
      <c r="A30">
        <v>29</v>
      </c>
      <c r="B30">
        <v>29</v>
      </c>
      <c r="C30">
        <v>270</v>
      </c>
      <c r="D30">
        <f t="shared" si="0"/>
        <v>7830</v>
      </c>
      <c r="E30">
        <f t="shared" si="1"/>
        <v>-261</v>
      </c>
      <c r="F30">
        <f t="shared" si="2"/>
        <v>-2430</v>
      </c>
      <c r="G30">
        <v>-9</v>
      </c>
      <c r="H30">
        <f>$K$10+$K$11*Таблица1[[#This Row],[X]]+$K$12*Таблица1[[#This Row],[Y]]</f>
        <v>-5.9989999999999988</v>
      </c>
      <c r="I30">
        <f>ABS(Таблица1[[#This Row],[Предсказанные значения]]-Таблица1[[#This Row],[Z]])</f>
        <v>3.0010000000000012</v>
      </c>
      <c r="J30" s="5" t="s">
        <v>48</v>
      </c>
      <c r="K30" s="9">
        <f>(K27-K28*K26)/(SQRT((1-K28^2)*(1-K26^2)))</f>
        <v>-9.2809415921876304E-2</v>
      </c>
      <c r="L30" s="12"/>
      <c r="M30" s="12"/>
      <c r="N30" s="12"/>
    </row>
    <row r="31" spans="1:16" x14ac:dyDescent="0.25">
      <c r="A31">
        <v>30</v>
      </c>
      <c r="B31">
        <v>38</v>
      </c>
      <c r="C31">
        <v>345</v>
      </c>
      <c r="D31">
        <f t="shared" si="0"/>
        <v>13110</v>
      </c>
      <c r="E31">
        <f t="shared" si="1"/>
        <v>-76</v>
      </c>
      <c r="F31">
        <f t="shared" si="2"/>
        <v>-690</v>
      </c>
      <c r="G31">
        <v>-2</v>
      </c>
      <c r="H31">
        <f>$K$10+$K$11*Таблица1[[#This Row],[X]]+$K$12*Таблица1[[#This Row],[Y]]</f>
        <v>-5.296999999999997</v>
      </c>
      <c r="I31">
        <f>ABS(Таблица1[[#This Row],[Предсказанные значения]]-Таблица1[[#This Row],[Z]])</f>
        <v>3.296999999999997</v>
      </c>
    </row>
    <row r="32" spans="1:16" x14ac:dyDescent="0.25">
      <c r="A32">
        <v>31</v>
      </c>
      <c r="B32">
        <v>37</v>
      </c>
      <c r="C32">
        <v>334</v>
      </c>
      <c r="D32">
        <f t="shared" si="0"/>
        <v>12358</v>
      </c>
      <c r="E32">
        <f t="shared" si="1"/>
        <v>-296</v>
      </c>
      <c r="F32">
        <f t="shared" si="2"/>
        <v>-2672</v>
      </c>
      <c r="G32">
        <v>-8</v>
      </c>
      <c r="H32">
        <f>$K$10+$K$11*Таблица1[[#This Row],[X]]+$K$12*Таблица1[[#This Row],[Y]]</f>
        <v>-5.070999999999998</v>
      </c>
      <c r="I32">
        <f>ABS(Таблица1[[#This Row],[Предсказанные значения]]-Таблица1[[#This Row],[Z]])</f>
        <v>2.929000000000002</v>
      </c>
      <c r="J32" s="5" t="s">
        <v>49</v>
      </c>
    </row>
    <row r="33" spans="1:18" x14ac:dyDescent="0.25">
      <c r="A33">
        <v>32</v>
      </c>
      <c r="B33">
        <v>55</v>
      </c>
      <c r="C33">
        <v>498</v>
      </c>
      <c r="D33">
        <f t="shared" si="0"/>
        <v>27390</v>
      </c>
      <c r="E33">
        <f t="shared" si="1"/>
        <v>-495</v>
      </c>
      <c r="F33">
        <f t="shared" si="2"/>
        <v>-4482</v>
      </c>
      <c r="G33">
        <v>-9</v>
      </c>
      <c r="H33">
        <f>$K$10+$K$11*Таблица1[[#This Row],[X]]+$K$12*Таблица1[[#This Row],[Y]]</f>
        <v>-5.2630000000000052</v>
      </c>
      <c r="I33">
        <f>ABS(Таблица1[[#This Row],[Предсказанные значения]]-Таблица1[[#This Row],[Z]])</f>
        <v>3.7369999999999948</v>
      </c>
      <c r="J33" s="5" t="s">
        <v>50</v>
      </c>
      <c r="K33" s="6">
        <f>K25*(COUNT(Таблица1[X])-2)/((1-K25)*2)</f>
        <v>0.38167964361911755</v>
      </c>
    </row>
    <row r="34" spans="1:18" x14ac:dyDescent="0.25">
      <c r="A34">
        <v>33</v>
      </c>
      <c r="B34">
        <v>38</v>
      </c>
      <c r="C34">
        <v>342</v>
      </c>
      <c r="D34">
        <f t="shared" ref="D34:D65" si="3">B34*C34</f>
        <v>12996</v>
      </c>
      <c r="E34">
        <f t="shared" ref="E34:E65" si="4">B34*G34</f>
        <v>-266</v>
      </c>
      <c r="F34">
        <f t="shared" ref="F34:F65" si="5">C34*G34</f>
        <v>-2394</v>
      </c>
      <c r="G34">
        <v>-7</v>
      </c>
      <c r="H34">
        <f>$K$10+$K$11*Таблица1[[#This Row],[X]]+$K$12*Таблица1[[#This Row],[Y]]</f>
        <v>-4.9549999999999983</v>
      </c>
      <c r="I34">
        <f>ABS(Таблица1[[#This Row],[Предсказанные значения]]-Таблица1[[#This Row],[Z]])</f>
        <v>2.0450000000000017</v>
      </c>
      <c r="J34" s="5" t="s">
        <v>51</v>
      </c>
      <c r="K34" s="6">
        <f>FINV(0.05, 2, COUNT(Таблица1[X])-2)</f>
        <v>3.1000686386371408</v>
      </c>
    </row>
    <row r="35" spans="1:18" x14ac:dyDescent="0.25">
      <c r="A35">
        <v>34</v>
      </c>
      <c r="B35">
        <v>27</v>
      </c>
      <c r="C35">
        <v>250</v>
      </c>
      <c r="D35">
        <f t="shared" si="3"/>
        <v>6750</v>
      </c>
      <c r="E35">
        <f t="shared" si="4"/>
        <v>-54</v>
      </c>
      <c r="F35">
        <f t="shared" si="5"/>
        <v>-500</v>
      </c>
      <c r="G35">
        <v>-2</v>
      </c>
      <c r="H35">
        <f>$K$10+$K$11*Таблица1[[#This Row],[X]]+$K$12*Таблица1[[#This Row],[Y]]</f>
        <v>-5.7749999999999986</v>
      </c>
      <c r="I35">
        <f>ABS(Таблица1[[#This Row],[Предсказанные значения]]-Таблица1[[#This Row],[Z]])</f>
        <v>3.7749999999999986</v>
      </c>
      <c r="J35" t="s">
        <v>52</v>
      </c>
    </row>
    <row r="36" spans="1:18" x14ac:dyDescent="0.25">
      <c r="A36">
        <v>35</v>
      </c>
      <c r="B36">
        <v>44</v>
      </c>
      <c r="C36">
        <v>403</v>
      </c>
      <c r="D36">
        <f t="shared" si="3"/>
        <v>17732</v>
      </c>
      <c r="E36">
        <f t="shared" si="4"/>
        <v>-220</v>
      </c>
      <c r="F36">
        <f t="shared" si="5"/>
        <v>-2015</v>
      </c>
      <c r="G36">
        <v>-5</v>
      </c>
      <c r="H36">
        <f>$K$10+$K$11*Таблица1[[#This Row],[X]]+$K$12*Таблица1[[#This Row],[Y]]</f>
        <v>-5.7409999999999997</v>
      </c>
      <c r="I36">
        <f>ABS(Таблица1[[#This Row],[Предсказанные значения]]-Таблица1[[#This Row],[Z]])</f>
        <v>0.74099999999999966</v>
      </c>
    </row>
    <row r="37" spans="1:18" x14ac:dyDescent="0.25">
      <c r="A37">
        <v>36</v>
      </c>
      <c r="B37">
        <v>48</v>
      </c>
      <c r="C37">
        <v>434</v>
      </c>
      <c r="D37">
        <f t="shared" si="3"/>
        <v>20832</v>
      </c>
      <c r="E37">
        <f t="shared" si="4"/>
        <v>-144</v>
      </c>
      <c r="F37">
        <f t="shared" si="5"/>
        <v>-1302</v>
      </c>
      <c r="G37">
        <v>-3</v>
      </c>
      <c r="H37">
        <f>$K$10+$K$11*Таблица1[[#This Row],[X]]+$K$12*Таблица1[[#This Row],[Y]]</f>
        <v>-5.1629999999999967</v>
      </c>
      <c r="I37">
        <f>ABS(Таблица1[[#This Row],[Предсказанные значения]]-Таблица1[[#This Row],[Z]])</f>
        <v>2.1629999999999967</v>
      </c>
      <c r="J37" s="5" t="s">
        <v>53</v>
      </c>
      <c r="M37" s="5" t="s">
        <v>59</v>
      </c>
    </row>
    <row r="38" spans="1:18" x14ac:dyDescent="0.25">
      <c r="A38">
        <v>37</v>
      </c>
      <c r="B38">
        <v>35</v>
      </c>
      <c r="C38">
        <v>320</v>
      </c>
      <c r="D38">
        <f t="shared" si="3"/>
        <v>11200</v>
      </c>
      <c r="E38">
        <f t="shared" si="4"/>
        <v>-210</v>
      </c>
      <c r="F38">
        <f t="shared" si="5"/>
        <v>-1920</v>
      </c>
      <c r="G38">
        <v>-6</v>
      </c>
      <c r="H38">
        <f>$K$10+$K$11*Таблица1[[#This Row],[X]]+$K$12*Таблица1[[#This Row],[Y]]</f>
        <v>-5.5309999999999988</v>
      </c>
      <c r="I38">
        <f>ABS(Таблица1[[#This Row],[Предсказанные значения]]-Таблица1[[#This Row],[Z]])</f>
        <v>0.46900000000000119</v>
      </c>
      <c r="J38" s="5" t="s">
        <v>55</v>
      </c>
      <c r="K38" s="6">
        <f>ABS(K10)/N38</f>
        <v>3.3787777031564805</v>
      </c>
      <c r="L38" t="s">
        <v>60</v>
      </c>
      <c r="M38" t="s">
        <v>7</v>
      </c>
      <c r="N38">
        <v>1.4890000000000001</v>
      </c>
    </row>
    <row r="39" spans="1:18" x14ac:dyDescent="0.25">
      <c r="A39">
        <v>38</v>
      </c>
      <c r="B39">
        <v>35</v>
      </c>
      <c r="C39">
        <v>318</v>
      </c>
      <c r="D39">
        <f t="shared" si="3"/>
        <v>11130</v>
      </c>
      <c r="E39">
        <f t="shared" si="4"/>
        <v>-350</v>
      </c>
      <c r="F39">
        <f t="shared" si="5"/>
        <v>-3180</v>
      </c>
      <c r="G39">
        <v>-10</v>
      </c>
      <c r="H39">
        <f>$K$10+$K$11*Таблица1[[#This Row],[X]]+$K$12*Таблица1[[#This Row],[Y]]</f>
        <v>-5.3029999999999973</v>
      </c>
      <c r="I39">
        <f>ABS(Таблица1[[#This Row],[Предсказанные значения]]-Таблица1[[#This Row],[Z]])</f>
        <v>4.6970000000000027</v>
      </c>
      <c r="J39" s="5" t="s">
        <v>56</v>
      </c>
      <c r="K39" s="6">
        <f t="shared" ref="K39:K40" si="6">ABS(K11)/N39</f>
        <v>0.8697123519458545</v>
      </c>
      <c r="L39" t="s">
        <v>61</v>
      </c>
      <c r="M39" t="s">
        <v>8</v>
      </c>
      <c r="N39">
        <v>1.1819999999999999</v>
      </c>
      <c r="P39" s="7"/>
      <c r="Q39" s="7"/>
      <c r="R39" s="7"/>
    </row>
    <row r="40" spans="1:18" x14ac:dyDescent="0.25">
      <c r="A40">
        <v>39</v>
      </c>
      <c r="B40">
        <v>28</v>
      </c>
      <c r="C40">
        <v>256</v>
      </c>
      <c r="D40">
        <f t="shared" si="3"/>
        <v>7168</v>
      </c>
      <c r="E40">
        <f t="shared" si="4"/>
        <v>-112</v>
      </c>
      <c r="F40">
        <f t="shared" si="5"/>
        <v>-1024</v>
      </c>
      <c r="G40">
        <v>-4</v>
      </c>
      <c r="H40">
        <f>$K$10+$K$11*Таблица1[[#This Row],[X]]+$K$12*Таблица1[[#This Row],[Y]]</f>
        <v>-5.4310000000000009</v>
      </c>
      <c r="I40">
        <f>ABS(Таблица1[[#This Row],[Предсказанные значения]]-Таблица1[[#This Row],[Z]])</f>
        <v>1.4310000000000009</v>
      </c>
      <c r="J40" s="5" t="s">
        <v>57</v>
      </c>
      <c r="K40" s="6">
        <f t="shared" si="6"/>
        <v>0.87022900763358779</v>
      </c>
      <c r="L40" t="s">
        <v>61</v>
      </c>
      <c r="M40" t="s">
        <v>9</v>
      </c>
      <c r="N40">
        <v>0.13100000000000001</v>
      </c>
      <c r="P40" s="7"/>
      <c r="Q40" s="7"/>
      <c r="R40" s="7"/>
    </row>
    <row r="41" spans="1:18" x14ac:dyDescent="0.25">
      <c r="A41">
        <v>40</v>
      </c>
      <c r="B41">
        <v>39</v>
      </c>
      <c r="C41">
        <v>358</v>
      </c>
      <c r="D41">
        <f t="shared" si="3"/>
        <v>13962</v>
      </c>
      <c r="E41">
        <f t="shared" si="4"/>
        <v>-273</v>
      </c>
      <c r="F41">
        <f t="shared" si="5"/>
        <v>-2506</v>
      </c>
      <c r="G41">
        <v>-7</v>
      </c>
      <c r="H41">
        <f>$K$10+$K$11*Таблица1[[#This Row],[X]]+$K$12*Таблица1[[#This Row],[Y]]</f>
        <v>-5.7510000000000048</v>
      </c>
      <c r="I41">
        <f>ABS(Таблица1[[#This Row],[Предсказанные значения]]-Таблица1[[#This Row],[Z]])</f>
        <v>1.2489999999999952</v>
      </c>
      <c r="J41" s="5" t="s">
        <v>58</v>
      </c>
      <c r="K41" s="6">
        <f>_xlfn.T.INV(0.95,88)</f>
        <v>1.662354029166899</v>
      </c>
      <c r="P41" s="7"/>
      <c r="Q41" s="7"/>
      <c r="R41" s="7"/>
    </row>
    <row r="42" spans="1:18" x14ac:dyDescent="0.25">
      <c r="A42">
        <v>41</v>
      </c>
      <c r="B42">
        <v>38</v>
      </c>
      <c r="C42">
        <v>347</v>
      </c>
      <c r="D42">
        <f t="shared" si="3"/>
        <v>13186</v>
      </c>
      <c r="E42">
        <f t="shared" si="4"/>
        <v>-76</v>
      </c>
      <c r="F42">
        <f t="shared" si="5"/>
        <v>-694</v>
      </c>
      <c r="G42">
        <v>-2</v>
      </c>
      <c r="H42">
        <f>$K$10+$K$11*Таблица1[[#This Row],[X]]+$K$12*Таблица1[[#This Row],[Y]]</f>
        <v>-5.5249999999999986</v>
      </c>
      <c r="I42">
        <f>ABS(Таблица1[[#This Row],[Предсказанные значения]]-Таблица1[[#This Row],[Z]])</f>
        <v>3.5249999999999986</v>
      </c>
      <c r="J42" t="s">
        <v>62</v>
      </c>
    </row>
    <row r="43" spans="1:18" x14ac:dyDescent="0.25">
      <c r="A43">
        <v>42</v>
      </c>
      <c r="B43">
        <v>35</v>
      </c>
      <c r="C43">
        <v>318</v>
      </c>
      <c r="D43">
        <f t="shared" si="3"/>
        <v>11130</v>
      </c>
      <c r="E43">
        <f t="shared" si="4"/>
        <v>-140</v>
      </c>
      <c r="F43">
        <f t="shared" si="5"/>
        <v>-1272</v>
      </c>
      <c r="G43">
        <v>-4</v>
      </c>
      <c r="H43">
        <f>$K$10+$K$11*Таблица1[[#This Row],[X]]+$K$12*Таблица1[[#This Row],[Y]]</f>
        <v>-5.3029999999999973</v>
      </c>
      <c r="I43">
        <f>ABS(Таблица1[[#This Row],[Предсказанные значения]]-Таблица1[[#This Row],[Z]])</f>
        <v>1.3029999999999973</v>
      </c>
    </row>
    <row r="44" spans="1:18" x14ac:dyDescent="0.25">
      <c r="A44">
        <v>43</v>
      </c>
      <c r="B44">
        <v>40</v>
      </c>
      <c r="C44">
        <v>369</v>
      </c>
      <c r="D44">
        <f t="shared" si="3"/>
        <v>14760</v>
      </c>
      <c r="E44">
        <f t="shared" si="4"/>
        <v>-400</v>
      </c>
      <c r="F44">
        <f t="shared" si="5"/>
        <v>-3690</v>
      </c>
      <c r="G44">
        <v>-10</v>
      </c>
      <c r="H44">
        <f>$K$10+$K$11*Таблица1[[#This Row],[X]]+$K$12*Таблица1[[#This Row],[Y]]</f>
        <v>-5.9769999999999968</v>
      </c>
      <c r="I44">
        <f>ABS(Таблица1[[#This Row],[Предсказанные значения]]-Таблица1[[#This Row],[Z]])</f>
        <v>4.0230000000000032</v>
      </c>
    </row>
    <row r="45" spans="1:18" x14ac:dyDescent="0.25">
      <c r="A45">
        <v>44</v>
      </c>
      <c r="B45">
        <v>44</v>
      </c>
      <c r="C45">
        <v>400</v>
      </c>
      <c r="D45">
        <f t="shared" si="3"/>
        <v>17600</v>
      </c>
      <c r="E45">
        <f t="shared" si="4"/>
        <v>-440</v>
      </c>
      <c r="F45">
        <f t="shared" si="5"/>
        <v>-4000</v>
      </c>
      <c r="G45">
        <v>-10</v>
      </c>
      <c r="H45">
        <f>$K$10+$K$11*Таблица1[[#This Row],[X]]+$K$12*Таблица1[[#This Row],[Y]]</f>
        <v>-5.3990000000000009</v>
      </c>
      <c r="I45">
        <f>ABS(Таблица1[[#This Row],[Предсказанные значения]]-Таблица1[[#This Row],[Z]])</f>
        <v>4.6009999999999991</v>
      </c>
    </row>
    <row r="46" spans="1:18" x14ac:dyDescent="0.25">
      <c r="A46">
        <v>45</v>
      </c>
      <c r="B46">
        <v>30</v>
      </c>
      <c r="C46">
        <v>277</v>
      </c>
      <c r="D46">
        <f t="shared" si="3"/>
        <v>8310</v>
      </c>
      <c r="E46">
        <f t="shared" si="4"/>
        <v>-270</v>
      </c>
      <c r="F46">
        <f t="shared" si="5"/>
        <v>-2493</v>
      </c>
      <c r="G46">
        <v>-9</v>
      </c>
      <c r="H46">
        <f>$K$10+$K$11*Таблица1[[#This Row],[X]]+$K$12*Таблица1[[#This Row],[Y]]</f>
        <v>-5.7689999999999984</v>
      </c>
      <c r="I46">
        <f>ABS(Таблица1[[#This Row],[Предсказанные значения]]-Таблица1[[#This Row],[Z]])</f>
        <v>3.2310000000000016</v>
      </c>
    </row>
    <row r="47" spans="1:18" x14ac:dyDescent="0.25">
      <c r="A47">
        <v>46</v>
      </c>
      <c r="B47">
        <v>43</v>
      </c>
      <c r="C47">
        <v>395</v>
      </c>
      <c r="D47">
        <f t="shared" si="3"/>
        <v>16985</v>
      </c>
      <c r="E47">
        <f t="shared" si="4"/>
        <v>-430</v>
      </c>
      <c r="F47">
        <f t="shared" si="5"/>
        <v>-3950</v>
      </c>
      <c r="G47">
        <v>-10</v>
      </c>
      <c r="H47">
        <f>$K$10+$K$11*Таблица1[[#This Row],[X]]+$K$12*Таблица1[[#This Row],[Y]]</f>
        <v>-5.8569999999999993</v>
      </c>
      <c r="I47">
        <f>ABS(Таблица1[[#This Row],[Предсказанные значения]]-Таблица1[[#This Row],[Z]])</f>
        <v>4.1430000000000007</v>
      </c>
    </row>
    <row r="48" spans="1:18" x14ac:dyDescent="0.25">
      <c r="A48">
        <v>47</v>
      </c>
      <c r="B48">
        <v>43</v>
      </c>
      <c r="C48">
        <v>392</v>
      </c>
      <c r="D48">
        <f t="shared" si="3"/>
        <v>16856</v>
      </c>
      <c r="E48">
        <f t="shared" si="4"/>
        <v>-430</v>
      </c>
      <c r="F48">
        <f t="shared" si="5"/>
        <v>-3920</v>
      </c>
      <c r="G48">
        <v>-10</v>
      </c>
      <c r="H48">
        <f>$K$10+$K$11*Таблица1[[#This Row],[X]]+$K$12*Таблица1[[#This Row],[Y]]</f>
        <v>-5.5150000000000006</v>
      </c>
      <c r="I48">
        <f>ABS(Таблица1[[#This Row],[Предсказанные значения]]-Таблица1[[#This Row],[Z]])</f>
        <v>4.4849999999999994</v>
      </c>
    </row>
    <row r="49" spans="1:9" x14ac:dyDescent="0.25">
      <c r="A49">
        <v>48</v>
      </c>
      <c r="B49">
        <v>27</v>
      </c>
      <c r="C49">
        <v>245</v>
      </c>
      <c r="D49">
        <f t="shared" si="3"/>
        <v>6615</v>
      </c>
      <c r="E49">
        <f t="shared" si="4"/>
        <v>-189</v>
      </c>
      <c r="F49">
        <f t="shared" si="5"/>
        <v>-1715</v>
      </c>
      <c r="G49">
        <v>-7</v>
      </c>
      <c r="H49">
        <f>$K$10+$K$11*Таблица1[[#This Row],[X]]+$K$12*Таблица1[[#This Row],[Y]]</f>
        <v>-5.2049999999999983</v>
      </c>
      <c r="I49">
        <f>ABS(Таблица1[[#This Row],[Предсказанные значения]]-Таблица1[[#This Row],[Z]])</f>
        <v>1.7950000000000017</v>
      </c>
    </row>
    <row r="50" spans="1:9" x14ac:dyDescent="0.25">
      <c r="A50">
        <v>49</v>
      </c>
      <c r="B50">
        <v>49</v>
      </c>
      <c r="C50">
        <v>445</v>
      </c>
      <c r="D50">
        <f t="shared" si="3"/>
        <v>21805</v>
      </c>
      <c r="E50">
        <f t="shared" si="4"/>
        <v>49</v>
      </c>
      <c r="F50">
        <f t="shared" si="5"/>
        <v>445</v>
      </c>
      <c r="G50">
        <v>1</v>
      </c>
      <c r="H50">
        <f>$K$10+$K$11*Таблица1[[#This Row],[X]]+$K$12*Таблица1[[#This Row],[Y]]</f>
        <v>-5.3890000000000029</v>
      </c>
      <c r="I50">
        <f>ABS(Таблица1[[#This Row],[Предсказанные значения]]-Таблица1[[#This Row],[Z]])</f>
        <v>6.3890000000000029</v>
      </c>
    </row>
    <row r="51" spans="1:9" x14ac:dyDescent="0.25">
      <c r="A51">
        <v>50</v>
      </c>
      <c r="B51">
        <v>35</v>
      </c>
      <c r="C51">
        <v>323</v>
      </c>
      <c r="D51">
        <f t="shared" si="3"/>
        <v>11305</v>
      </c>
      <c r="E51">
        <f t="shared" si="4"/>
        <v>70</v>
      </c>
      <c r="F51">
        <f t="shared" si="5"/>
        <v>646</v>
      </c>
      <c r="G51">
        <v>2</v>
      </c>
      <c r="H51">
        <f>$K$10+$K$11*Таблица1[[#This Row],[X]]+$K$12*Таблица1[[#This Row],[Y]]</f>
        <v>-5.8729999999999976</v>
      </c>
      <c r="I51">
        <f>ABS(Таблица1[[#This Row],[Предсказанные значения]]-Таблица1[[#This Row],[Z]])</f>
        <v>7.8729999999999976</v>
      </c>
    </row>
    <row r="52" spans="1:9" x14ac:dyDescent="0.25">
      <c r="A52">
        <v>51</v>
      </c>
      <c r="B52">
        <v>36</v>
      </c>
      <c r="C52">
        <v>331</v>
      </c>
      <c r="D52">
        <f t="shared" si="3"/>
        <v>11916</v>
      </c>
      <c r="E52">
        <f t="shared" si="4"/>
        <v>-360</v>
      </c>
      <c r="F52">
        <f t="shared" si="5"/>
        <v>-3310</v>
      </c>
      <c r="G52">
        <v>-10</v>
      </c>
      <c r="H52">
        <f>$K$10+$K$11*Таблица1[[#This Row],[X]]+$K$12*Таблица1[[#This Row],[Y]]</f>
        <v>-5.7569999999999979</v>
      </c>
      <c r="I52">
        <f>ABS(Таблица1[[#This Row],[Предсказанные значения]]-Таблица1[[#This Row],[Z]])</f>
        <v>4.2430000000000021</v>
      </c>
    </row>
    <row r="53" spans="1:9" x14ac:dyDescent="0.25">
      <c r="A53">
        <v>52</v>
      </c>
      <c r="B53">
        <v>15</v>
      </c>
      <c r="C53">
        <v>140</v>
      </c>
      <c r="D53">
        <f t="shared" si="3"/>
        <v>2100</v>
      </c>
      <c r="E53">
        <f t="shared" si="4"/>
        <v>-30</v>
      </c>
      <c r="F53">
        <f t="shared" si="5"/>
        <v>-280</v>
      </c>
      <c r="G53">
        <v>-2</v>
      </c>
      <c r="H53">
        <f>$K$10+$K$11*Таблица1[[#This Row],[X]]+$K$12*Таблица1[[#This Row],[Y]]</f>
        <v>-5.5710000000000015</v>
      </c>
      <c r="I53">
        <f>ABS(Таблица1[[#This Row],[Предсказанные значения]]-Таблица1[[#This Row],[Z]])</f>
        <v>3.5710000000000015</v>
      </c>
    </row>
    <row r="54" spans="1:9" x14ac:dyDescent="0.25">
      <c r="A54">
        <v>53</v>
      </c>
      <c r="B54">
        <v>33</v>
      </c>
      <c r="C54">
        <v>303</v>
      </c>
      <c r="D54">
        <f t="shared" si="3"/>
        <v>9999</v>
      </c>
      <c r="E54">
        <f t="shared" si="4"/>
        <v>-198</v>
      </c>
      <c r="F54">
        <f t="shared" si="5"/>
        <v>-1818</v>
      </c>
      <c r="G54">
        <v>-6</v>
      </c>
      <c r="H54">
        <f>$K$10+$K$11*Таблица1[[#This Row],[X]]+$K$12*Таблица1[[#This Row],[Y]]</f>
        <v>-5.6490000000000009</v>
      </c>
      <c r="I54">
        <f>ABS(Таблица1[[#This Row],[Предсказанные значения]]-Таблица1[[#This Row],[Z]])</f>
        <v>0.35099999999999909</v>
      </c>
    </row>
    <row r="55" spans="1:9" x14ac:dyDescent="0.25">
      <c r="A55">
        <v>54</v>
      </c>
      <c r="B55">
        <v>27</v>
      </c>
      <c r="C55">
        <v>247</v>
      </c>
      <c r="D55">
        <f t="shared" si="3"/>
        <v>6669</v>
      </c>
      <c r="E55">
        <f t="shared" si="4"/>
        <v>-189</v>
      </c>
      <c r="F55">
        <f t="shared" si="5"/>
        <v>-1729</v>
      </c>
      <c r="G55">
        <v>-7</v>
      </c>
      <c r="H55">
        <f>$K$10+$K$11*Таблица1[[#This Row],[X]]+$K$12*Таблица1[[#This Row],[Y]]</f>
        <v>-5.4329999999999998</v>
      </c>
      <c r="I55">
        <f>ABS(Таблица1[[#This Row],[Предсказанные значения]]-Таблица1[[#This Row],[Z]])</f>
        <v>1.5670000000000002</v>
      </c>
    </row>
    <row r="56" spans="1:9" x14ac:dyDescent="0.25">
      <c r="A56">
        <v>55</v>
      </c>
      <c r="B56">
        <v>43</v>
      </c>
      <c r="C56">
        <v>387</v>
      </c>
      <c r="D56">
        <f t="shared" si="3"/>
        <v>16641</v>
      </c>
      <c r="E56">
        <f t="shared" si="4"/>
        <v>-129</v>
      </c>
      <c r="F56">
        <f t="shared" si="5"/>
        <v>-1161</v>
      </c>
      <c r="G56">
        <v>-3</v>
      </c>
      <c r="H56">
        <f>$K$10+$K$11*Таблица1[[#This Row],[X]]+$K$12*Таблица1[[#This Row],[Y]]</f>
        <v>-4.9450000000000003</v>
      </c>
      <c r="I56">
        <f>ABS(Таблица1[[#This Row],[Предсказанные значения]]-Таблица1[[#This Row],[Z]])</f>
        <v>1.9450000000000003</v>
      </c>
    </row>
    <row r="57" spans="1:9" x14ac:dyDescent="0.25">
      <c r="A57">
        <v>56</v>
      </c>
      <c r="B57">
        <v>47</v>
      </c>
      <c r="C57">
        <v>426</v>
      </c>
      <c r="D57">
        <f t="shared" si="3"/>
        <v>20022</v>
      </c>
      <c r="E57">
        <f t="shared" si="4"/>
        <v>-329</v>
      </c>
      <c r="F57">
        <f t="shared" si="5"/>
        <v>-2982</v>
      </c>
      <c r="G57">
        <v>-7</v>
      </c>
      <c r="H57">
        <f>$K$10+$K$11*Таблица1[[#This Row],[X]]+$K$12*Таблица1[[#This Row],[Y]]</f>
        <v>-5.2789999999999964</v>
      </c>
      <c r="I57">
        <f>ABS(Таблица1[[#This Row],[Предсказанные значения]]-Таблица1[[#This Row],[Z]])</f>
        <v>1.7210000000000036</v>
      </c>
    </row>
    <row r="58" spans="1:9" x14ac:dyDescent="0.25">
      <c r="A58">
        <v>57</v>
      </c>
      <c r="B58">
        <v>33</v>
      </c>
      <c r="C58">
        <v>304</v>
      </c>
      <c r="D58">
        <f t="shared" si="3"/>
        <v>10032</v>
      </c>
      <c r="E58">
        <f t="shared" si="4"/>
        <v>-198</v>
      </c>
      <c r="F58">
        <f t="shared" si="5"/>
        <v>-1824</v>
      </c>
      <c r="G58">
        <v>-6</v>
      </c>
      <c r="H58">
        <f>$K$10+$K$11*Таблица1[[#This Row],[X]]+$K$12*Таблица1[[#This Row],[Y]]</f>
        <v>-5.7629999999999981</v>
      </c>
      <c r="I58">
        <f>ABS(Таблица1[[#This Row],[Предсказанные значения]]-Таблица1[[#This Row],[Z]])</f>
        <v>0.23700000000000188</v>
      </c>
    </row>
    <row r="59" spans="1:9" x14ac:dyDescent="0.25">
      <c r="A59">
        <v>58</v>
      </c>
      <c r="B59">
        <v>28</v>
      </c>
      <c r="C59">
        <v>257</v>
      </c>
      <c r="D59">
        <f t="shared" si="3"/>
        <v>7196</v>
      </c>
      <c r="E59">
        <f t="shared" si="4"/>
        <v>-252</v>
      </c>
      <c r="F59">
        <f t="shared" si="5"/>
        <v>-2313</v>
      </c>
      <c r="G59">
        <v>-9</v>
      </c>
      <c r="H59">
        <f>$K$10+$K$11*Таблица1[[#This Row],[X]]+$K$12*Таблица1[[#This Row],[Y]]</f>
        <v>-5.5450000000000017</v>
      </c>
      <c r="I59">
        <f>ABS(Таблица1[[#This Row],[Предсказанные значения]]-Таблица1[[#This Row],[Z]])</f>
        <v>3.4549999999999983</v>
      </c>
    </row>
    <row r="60" spans="1:9" x14ac:dyDescent="0.25">
      <c r="A60">
        <v>59</v>
      </c>
      <c r="B60">
        <v>41</v>
      </c>
      <c r="C60">
        <v>377</v>
      </c>
      <c r="D60">
        <f t="shared" si="3"/>
        <v>15457</v>
      </c>
      <c r="E60">
        <f t="shared" si="4"/>
        <v>-205</v>
      </c>
      <c r="F60">
        <f t="shared" si="5"/>
        <v>-1885</v>
      </c>
      <c r="G60">
        <v>-5</v>
      </c>
      <c r="H60">
        <f>$K$10+$K$11*Таблица1[[#This Row],[X]]+$K$12*Таблица1[[#This Row],[Y]]</f>
        <v>-5.8609999999999971</v>
      </c>
      <c r="I60">
        <f>ABS(Таблица1[[#This Row],[Предсказанные значения]]-Таблица1[[#This Row],[Z]])</f>
        <v>0.8609999999999971</v>
      </c>
    </row>
    <row r="61" spans="1:9" x14ac:dyDescent="0.25">
      <c r="A61">
        <v>60</v>
      </c>
      <c r="B61">
        <v>59</v>
      </c>
      <c r="C61">
        <v>535</v>
      </c>
      <c r="D61">
        <f t="shared" si="3"/>
        <v>31565</v>
      </c>
      <c r="E61">
        <f t="shared" si="4"/>
        <v>-59</v>
      </c>
      <c r="F61">
        <f t="shared" si="5"/>
        <v>-535</v>
      </c>
      <c r="G61">
        <v>-1</v>
      </c>
      <c r="H61">
        <f>$K$10+$K$11*Таблица1[[#This Row],[X]]+$K$12*Таблица1[[#This Row],[Y]]</f>
        <v>-5.3689999999999998</v>
      </c>
      <c r="I61">
        <f>ABS(Таблица1[[#This Row],[Предсказанные значения]]-Таблица1[[#This Row],[Z]])</f>
        <v>4.3689999999999998</v>
      </c>
    </row>
    <row r="62" spans="1:9" x14ac:dyDescent="0.25">
      <c r="A62">
        <v>61</v>
      </c>
      <c r="B62">
        <v>23</v>
      </c>
      <c r="C62">
        <v>208</v>
      </c>
      <c r="D62">
        <f t="shared" si="3"/>
        <v>4784</v>
      </c>
      <c r="E62">
        <f t="shared" si="4"/>
        <v>-115</v>
      </c>
      <c r="F62">
        <f t="shared" si="5"/>
        <v>-1040</v>
      </c>
      <c r="G62">
        <v>-5</v>
      </c>
      <c r="H62">
        <f>$K$10+$K$11*Таблица1[[#This Row],[X]]+$K$12*Таблица1[[#This Row],[Y]]</f>
        <v>-5.0989999999999966</v>
      </c>
      <c r="I62">
        <f>ABS(Таблица1[[#This Row],[Предсказанные значения]]-Таблица1[[#This Row],[Z]])</f>
        <v>9.8999999999996646E-2</v>
      </c>
    </row>
    <row r="63" spans="1:9" x14ac:dyDescent="0.25">
      <c r="A63">
        <v>62</v>
      </c>
      <c r="B63">
        <v>39</v>
      </c>
      <c r="C63">
        <v>357</v>
      </c>
      <c r="D63">
        <f t="shared" si="3"/>
        <v>13923</v>
      </c>
      <c r="E63">
        <f t="shared" si="4"/>
        <v>-156</v>
      </c>
      <c r="F63">
        <f t="shared" si="5"/>
        <v>-1428</v>
      </c>
      <c r="G63">
        <v>-4</v>
      </c>
      <c r="H63">
        <f>$K$10+$K$11*Таблица1[[#This Row],[X]]+$K$12*Таблица1[[#This Row],[Y]]</f>
        <v>-5.6370000000000005</v>
      </c>
      <c r="I63">
        <f>ABS(Таблица1[[#This Row],[Предсказанные значения]]-Таблица1[[#This Row],[Z]])</f>
        <v>1.6370000000000005</v>
      </c>
    </row>
    <row r="64" spans="1:9" x14ac:dyDescent="0.25">
      <c r="A64">
        <v>63</v>
      </c>
      <c r="B64">
        <v>37</v>
      </c>
      <c r="C64">
        <v>337</v>
      </c>
      <c r="D64">
        <f t="shared" si="3"/>
        <v>12469</v>
      </c>
      <c r="E64">
        <f t="shared" si="4"/>
        <v>-111</v>
      </c>
      <c r="F64">
        <f t="shared" si="5"/>
        <v>-1011</v>
      </c>
      <c r="G64">
        <v>-3</v>
      </c>
      <c r="H64">
        <f>$K$10+$K$11*Таблица1[[#This Row],[X]]+$K$12*Таблица1[[#This Row],[Y]]</f>
        <v>-5.4129999999999967</v>
      </c>
      <c r="I64">
        <f>ABS(Таблица1[[#This Row],[Предсказанные значения]]-Таблица1[[#This Row],[Z]])</f>
        <v>2.4129999999999967</v>
      </c>
    </row>
    <row r="65" spans="1:9" x14ac:dyDescent="0.25">
      <c r="A65">
        <v>64</v>
      </c>
      <c r="B65">
        <v>49</v>
      </c>
      <c r="C65">
        <v>447</v>
      </c>
      <c r="D65">
        <f t="shared" si="3"/>
        <v>21903</v>
      </c>
      <c r="E65">
        <f t="shared" si="4"/>
        <v>-98</v>
      </c>
      <c r="F65">
        <f t="shared" si="5"/>
        <v>-894</v>
      </c>
      <c r="G65">
        <v>-2</v>
      </c>
      <c r="H65">
        <f>$K$10+$K$11*Таблица1[[#This Row],[X]]+$K$12*Таблица1[[#This Row],[Y]]</f>
        <v>-5.6169999999999973</v>
      </c>
      <c r="I65">
        <f>ABS(Таблица1[[#This Row],[Предсказанные значения]]-Таблица1[[#This Row],[Z]])</f>
        <v>3.6169999999999973</v>
      </c>
    </row>
    <row r="66" spans="1:9" x14ac:dyDescent="0.25">
      <c r="A66">
        <v>65</v>
      </c>
      <c r="B66">
        <v>26</v>
      </c>
      <c r="C66">
        <v>238</v>
      </c>
      <c r="D66">
        <f t="shared" ref="D66:D97" si="7">B66*C66</f>
        <v>6188</v>
      </c>
      <c r="E66">
        <f t="shared" ref="E66:E91" si="8">B66*G66</f>
        <v>-182</v>
      </c>
      <c r="F66">
        <f t="shared" ref="F66:F97" si="9">C66*G66</f>
        <v>-1666</v>
      </c>
      <c r="G66">
        <v>-7</v>
      </c>
      <c r="H66">
        <f>$K$10+$K$11*Таблица1[[#This Row],[X]]+$K$12*Таблица1[[#This Row],[Y]]</f>
        <v>-5.4349999999999987</v>
      </c>
      <c r="I66">
        <f>ABS(Таблица1[[#This Row],[Предсказанные значения]]-Таблица1[[#This Row],[Z]])</f>
        <v>1.5650000000000013</v>
      </c>
    </row>
    <row r="67" spans="1:9" x14ac:dyDescent="0.25">
      <c r="A67">
        <v>66</v>
      </c>
      <c r="B67">
        <v>20</v>
      </c>
      <c r="C67">
        <v>182</v>
      </c>
      <c r="D67">
        <f t="shared" si="7"/>
        <v>3640</v>
      </c>
      <c r="E67">
        <f t="shared" si="8"/>
        <v>-60</v>
      </c>
      <c r="F67">
        <f t="shared" si="9"/>
        <v>-546</v>
      </c>
      <c r="G67">
        <v>-3</v>
      </c>
      <c r="H67">
        <f>$K$10+$K$11*Таблица1[[#This Row],[X]]+$K$12*Таблица1[[#This Row],[Y]]</f>
        <v>-5.2189999999999976</v>
      </c>
      <c r="I67">
        <f>ABS(Таблица1[[#This Row],[Предсказанные значения]]-Таблица1[[#This Row],[Z]])</f>
        <v>2.2189999999999976</v>
      </c>
    </row>
    <row r="68" spans="1:9" x14ac:dyDescent="0.25">
      <c r="A68">
        <v>67</v>
      </c>
      <c r="B68">
        <v>48</v>
      </c>
      <c r="C68">
        <v>437</v>
      </c>
      <c r="D68">
        <f t="shared" si="7"/>
        <v>20976</v>
      </c>
      <c r="E68">
        <f t="shared" si="8"/>
        <v>-432</v>
      </c>
      <c r="F68">
        <f t="shared" si="9"/>
        <v>-3933</v>
      </c>
      <c r="G68">
        <v>-9</v>
      </c>
      <c r="H68">
        <f>$K$10+$K$11*Таблица1[[#This Row],[X]]+$K$12*Таблица1[[#This Row],[Y]]</f>
        <v>-5.5050000000000026</v>
      </c>
      <c r="I68">
        <f>ABS(Таблица1[[#This Row],[Предсказанные значения]]-Таблица1[[#This Row],[Z]])</f>
        <v>3.4949999999999974</v>
      </c>
    </row>
    <row r="69" spans="1:9" x14ac:dyDescent="0.25">
      <c r="A69">
        <v>68</v>
      </c>
      <c r="B69">
        <v>32</v>
      </c>
      <c r="C69">
        <v>292</v>
      </c>
      <c r="D69">
        <f t="shared" si="7"/>
        <v>9344</v>
      </c>
      <c r="E69">
        <f t="shared" si="8"/>
        <v>-320</v>
      </c>
      <c r="F69">
        <f t="shared" si="9"/>
        <v>-2920</v>
      </c>
      <c r="G69">
        <v>-10</v>
      </c>
      <c r="H69">
        <f>$K$10+$K$11*Таблица1[[#This Row],[X]]+$K$12*Таблица1[[#This Row],[Y]]</f>
        <v>-5.4230000000000018</v>
      </c>
      <c r="I69">
        <f>ABS(Таблица1[[#This Row],[Предсказанные значения]]-Таблица1[[#This Row],[Z]])</f>
        <v>4.5769999999999982</v>
      </c>
    </row>
    <row r="70" spans="1:9" x14ac:dyDescent="0.25">
      <c r="A70">
        <v>69</v>
      </c>
      <c r="B70">
        <v>52</v>
      </c>
      <c r="C70">
        <v>473</v>
      </c>
      <c r="D70">
        <f t="shared" si="7"/>
        <v>24596</v>
      </c>
      <c r="E70">
        <f t="shared" si="8"/>
        <v>-416</v>
      </c>
      <c r="F70">
        <f t="shared" si="9"/>
        <v>-3784</v>
      </c>
      <c r="G70">
        <v>-8</v>
      </c>
      <c r="H70">
        <f>$K$10+$K$11*Таблица1[[#This Row],[X]]+$K$12*Таблица1[[#This Row],[Y]]</f>
        <v>-5.4969999999999999</v>
      </c>
      <c r="I70">
        <f>ABS(Таблица1[[#This Row],[Предсказанные значения]]-Таблица1[[#This Row],[Z]])</f>
        <v>2.5030000000000001</v>
      </c>
    </row>
    <row r="71" spans="1:9" x14ac:dyDescent="0.25">
      <c r="A71">
        <v>70</v>
      </c>
      <c r="B71">
        <v>43</v>
      </c>
      <c r="C71">
        <v>392</v>
      </c>
      <c r="D71">
        <f t="shared" si="7"/>
        <v>16856</v>
      </c>
      <c r="E71">
        <f t="shared" si="8"/>
        <v>-43</v>
      </c>
      <c r="F71">
        <f t="shared" si="9"/>
        <v>-392</v>
      </c>
      <c r="G71">
        <v>-1</v>
      </c>
      <c r="H71">
        <f>$K$10+$K$11*Таблица1[[#This Row],[X]]+$K$12*Таблица1[[#This Row],[Y]]</f>
        <v>-5.5150000000000006</v>
      </c>
      <c r="I71">
        <f>ABS(Таблица1[[#This Row],[Предсказанные значения]]-Таблица1[[#This Row],[Z]])</f>
        <v>4.5150000000000006</v>
      </c>
    </row>
    <row r="72" spans="1:9" x14ac:dyDescent="0.25">
      <c r="A72">
        <v>71</v>
      </c>
      <c r="B72">
        <v>49</v>
      </c>
      <c r="C72">
        <v>442</v>
      </c>
      <c r="D72">
        <f t="shared" si="7"/>
        <v>21658</v>
      </c>
      <c r="E72">
        <f t="shared" si="8"/>
        <v>-98</v>
      </c>
      <c r="F72">
        <f t="shared" si="9"/>
        <v>-884</v>
      </c>
      <c r="G72">
        <v>-2</v>
      </c>
      <c r="H72">
        <f>$K$10+$K$11*Таблица1[[#This Row],[X]]+$K$12*Таблица1[[#This Row],[Y]]</f>
        <v>-5.0470000000000041</v>
      </c>
      <c r="I72">
        <f>ABS(Таблица1[[#This Row],[Предсказанные значения]]-Таблица1[[#This Row],[Z]])</f>
        <v>3.0470000000000041</v>
      </c>
    </row>
    <row r="73" spans="1:9" x14ac:dyDescent="0.25">
      <c r="A73">
        <v>72</v>
      </c>
      <c r="B73">
        <v>39</v>
      </c>
      <c r="C73">
        <v>356</v>
      </c>
      <c r="D73">
        <f t="shared" si="7"/>
        <v>13884</v>
      </c>
      <c r="E73">
        <f t="shared" si="8"/>
        <v>-273</v>
      </c>
      <c r="F73">
        <f t="shared" si="9"/>
        <v>-2492</v>
      </c>
      <c r="G73">
        <v>-7</v>
      </c>
      <c r="H73">
        <f>$K$10+$K$11*Таблица1[[#This Row],[X]]+$K$12*Таблица1[[#This Row],[Y]]</f>
        <v>-5.5230000000000032</v>
      </c>
      <c r="I73">
        <f>ABS(Таблица1[[#This Row],[Предсказанные значения]]-Таблица1[[#This Row],[Z]])</f>
        <v>1.4769999999999968</v>
      </c>
    </row>
    <row r="74" spans="1:9" x14ac:dyDescent="0.25">
      <c r="A74">
        <v>73</v>
      </c>
      <c r="B74">
        <v>42</v>
      </c>
      <c r="C74">
        <v>386</v>
      </c>
      <c r="D74">
        <f t="shared" si="7"/>
        <v>16212</v>
      </c>
      <c r="E74">
        <f t="shared" si="8"/>
        <v>-126</v>
      </c>
      <c r="F74">
        <f t="shared" si="9"/>
        <v>-1158</v>
      </c>
      <c r="G74">
        <v>-3</v>
      </c>
      <c r="H74">
        <f>$K$10+$K$11*Таблица1[[#This Row],[X]]+$K$12*Таблица1[[#This Row],[Y]]</f>
        <v>-5.8590000000000018</v>
      </c>
      <c r="I74">
        <f>ABS(Таблица1[[#This Row],[Предсказанные значения]]-Таблица1[[#This Row],[Z]])</f>
        <v>2.8590000000000018</v>
      </c>
    </row>
    <row r="75" spans="1:9" x14ac:dyDescent="0.25">
      <c r="A75">
        <v>74</v>
      </c>
      <c r="B75">
        <v>37</v>
      </c>
      <c r="C75">
        <v>338</v>
      </c>
      <c r="D75">
        <f t="shared" si="7"/>
        <v>12506</v>
      </c>
      <c r="E75">
        <f t="shared" si="8"/>
        <v>-185</v>
      </c>
      <c r="F75">
        <f t="shared" si="9"/>
        <v>-1690</v>
      </c>
      <c r="G75">
        <v>-5</v>
      </c>
      <c r="H75">
        <f>$K$10+$K$11*Таблица1[[#This Row],[X]]+$K$12*Таблица1[[#This Row],[Y]]</f>
        <v>-5.527000000000001</v>
      </c>
      <c r="I75">
        <f>ABS(Таблица1[[#This Row],[Предсказанные значения]]-Таблица1[[#This Row],[Z]])</f>
        <v>0.52700000000000102</v>
      </c>
    </row>
    <row r="76" spans="1:9" x14ac:dyDescent="0.25">
      <c r="A76">
        <v>75</v>
      </c>
      <c r="B76">
        <v>30</v>
      </c>
      <c r="C76">
        <v>277</v>
      </c>
      <c r="D76">
        <f t="shared" si="7"/>
        <v>8310</v>
      </c>
      <c r="E76">
        <f t="shared" si="8"/>
        <v>-120</v>
      </c>
      <c r="F76">
        <f t="shared" si="9"/>
        <v>-1108</v>
      </c>
      <c r="G76">
        <v>-4</v>
      </c>
      <c r="H76">
        <f>$K$10+$K$11*Таблица1[[#This Row],[X]]+$K$12*Таблица1[[#This Row],[Y]]</f>
        <v>-5.7689999999999984</v>
      </c>
      <c r="I76">
        <f>ABS(Таблица1[[#This Row],[Предсказанные значения]]-Таблица1[[#This Row],[Z]])</f>
        <v>1.7689999999999984</v>
      </c>
    </row>
    <row r="77" spans="1:9" x14ac:dyDescent="0.25">
      <c r="A77">
        <v>76</v>
      </c>
      <c r="B77">
        <v>27</v>
      </c>
      <c r="C77">
        <v>247</v>
      </c>
      <c r="D77">
        <f t="shared" si="7"/>
        <v>6669</v>
      </c>
      <c r="E77">
        <f t="shared" si="8"/>
        <v>-108</v>
      </c>
      <c r="F77">
        <f t="shared" si="9"/>
        <v>-988</v>
      </c>
      <c r="G77">
        <v>-4</v>
      </c>
      <c r="H77">
        <f>$K$10+$K$11*Таблица1[[#This Row],[X]]+$K$12*Таблица1[[#This Row],[Y]]</f>
        <v>-5.4329999999999998</v>
      </c>
      <c r="I77">
        <f>ABS(Таблица1[[#This Row],[Предсказанные значения]]-Таблица1[[#This Row],[Z]])</f>
        <v>1.4329999999999998</v>
      </c>
    </row>
    <row r="78" spans="1:9" x14ac:dyDescent="0.25">
      <c r="A78">
        <v>77</v>
      </c>
      <c r="B78">
        <v>18</v>
      </c>
      <c r="C78">
        <v>170</v>
      </c>
      <c r="D78">
        <f t="shared" si="7"/>
        <v>3060</v>
      </c>
      <c r="E78">
        <f t="shared" si="8"/>
        <v>-90</v>
      </c>
      <c r="F78">
        <f t="shared" si="9"/>
        <v>-850</v>
      </c>
      <c r="G78">
        <v>-5</v>
      </c>
      <c r="H78">
        <f>$K$10+$K$11*Таблица1[[#This Row],[X]]+$K$12*Таблица1[[#This Row],[Y]]</f>
        <v>-5.9069999999999965</v>
      </c>
      <c r="I78">
        <f>ABS(Таблица1[[#This Row],[Предсказанные значения]]-Таблица1[[#This Row],[Z]])</f>
        <v>0.90699999999999648</v>
      </c>
    </row>
    <row r="79" spans="1:9" x14ac:dyDescent="0.25">
      <c r="A79">
        <v>78</v>
      </c>
      <c r="B79">
        <v>42</v>
      </c>
      <c r="C79">
        <v>380</v>
      </c>
      <c r="D79">
        <f t="shared" si="7"/>
        <v>15960</v>
      </c>
      <c r="E79">
        <f t="shared" si="8"/>
        <v>-294</v>
      </c>
      <c r="F79">
        <f t="shared" si="9"/>
        <v>-2660</v>
      </c>
      <c r="G79">
        <v>-7</v>
      </c>
      <c r="H79">
        <f>$K$10+$K$11*Таблица1[[#This Row],[X]]+$K$12*Таблица1[[#This Row],[Y]]</f>
        <v>-5.1749999999999972</v>
      </c>
      <c r="I79">
        <f>ABS(Таблица1[[#This Row],[Предсказанные значения]]-Таблица1[[#This Row],[Z]])</f>
        <v>1.8250000000000028</v>
      </c>
    </row>
    <row r="80" spans="1:9" x14ac:dyDescent="0.25">
      <c r="A80">
        <v>79</v>
      </c>
      <c r="B80">
        <v>24</v>
      </c>
      <c r="C80">
        <v>221</v>
      </c>
      <c r="D80">
        <f t="shared" si="7"/>
        <v>5304</v>
      </c>
      <c r="E80">
        <f t="shared" si="8"/>
        <v>-192</v>
      </c>
      <c r="F80">
        <f t="shared" si="9"/>
        <v>-1768</v>
      </c>
      <c r="G80">
        <v>-8</v>
      </c>
      <c r="H80">
        <f>$K$10+$K$11*Таблица1[[#This Row],[X]]+$K$12*Таблица1[[#This Row],[Y]]</f>
        <v>-5.5530000000000008</v>
      </c>
      <c r="I80">
        <f>ABS(Таблица1[[#This Row],[Предсказанные значения]]-Таблица1[[#This Row],[Z]])</f>
        <v>2.4469999999999992</v>
      </c>
    </row>
    <row r="81" spans="1:9" x14ac:dyDescent="0.25">
      <c r="A81">
        <v>80</v>
      </c>
      <c r="B81">
        <v>31</v>
      </c>
      <c r="C81">
        <v>287</v>
      </c>
      <c r="D81">
        <f t="shared" si="7"/>
        <v>8897</v>
      </c>
      <c r="E81">
        <f t="shared" si="8"/>
        <v>-310</v>
      </c>
      <c r="F81">
        <f t="shared" si="9"/>
        <v>-2870</v>
      </c>
      <c r="G81">
        <v>-10</v>
      </c>
      <c r="H81">
        <f>$K$10+$K$11*Таблица1[[#This Row],[X]]+$K$12*Таблица1[[#This Row],[Y]]</f>
        <v>-5.8810000000000002</v>
      </c>
      <c r="I81">
        <f>ABS(Таблица1[[#This Row],[Предсказанные значения]]-Таблица1[[#This Row],[Z]])</f>
        <v>4.1189999999999998</v>
      </c>
    </row>
    <row r="82" spans="1:9" x14ac:dyDescent="0.25">
      <c r="A82">
        <v>81</v>
      </c>
      <c r="B82">
        <v>27</v>
      </c>
      <c r="C82">
        <v>244</v>
      </c>
      <c r="D82">
        <f t="shared" si="7"/>
        <v>6588</v>
      </c>
      <c r="E82">
        <f t="shared" si="8"/>
        <v>-135</v>
      </c>
      <c r="F82">
        <f t="shared" si="9"/>
        <v>-1220</v>
      </c>
      <c r="G82">
        <v>-5</v>
      </c>
      <c r="H82">
        <f>$K$10+$K$11*Таблица1[[#This Row],[X]]+$K$12*Таблица1[[#This Row],[Y]]</f>
        <v>-5.0910000000000011</v>
      </c>
      <c r="I82">
        <f>ABS(Таблица1[[#This Row],[Предсказанные значения]]-Таблица1[[#This Row],[Z]])</f>
        <v>9.100000000000108E-2</v>
      </c>
    </row>
    <row r="83" spans="1:9" x14ac:dyDescent="0.25">
      <c r="A83">
        <v>82</v>
      </c>
      <c r="B83">
        <v>34</v>
      </c>
      <c r="C83">
        <v>313</v>
      </c>
      <c r="D83">
        <f t="shared" si="7"/>
        <v>10642</v>
      </c>
      <c r="E83">
        <f t="shared" si="8"/>
        <v>-204</v>
      </c>
      <c r="F83">
        <f t="shared" si="9"/>
        <v>-1878</v>
      </c>
      <c r="G83">
        <v>-6</v>
      </c>
      <c r="H83">
        <f>$K$10+$K$11*Таблица1[[#This Row],[X]]+$K$12*Таблица1[[#This Row],[Y]]</f>
        <v>-5.7610000000000028</v>
      </c>
      <c r="I83">
        <f>ABS(Таблица1[[#This Row],[Предсказанные значения]]-Таблица1[[#This Row],[Z]])</f>
        <v>0.23899999999999721</v>
      </c>
    </row>
    <row r="84" spans="1:9" x14ac:dyDescent="0.25">
      <c r="A84">
        <v>83</v>
      </c>
      <c r="B84">
        <v>24</v>
      </c>
      <c r="C84">
        <v>219</v>
      </c>
      <c r="D84">
        <f t="shared" si="7"/>
        <v>5256</v>
      </c>
      <c r="E84">
        <f t="shared" si="8"/>
        <v>-120</v>
      </c>
      <c r="F84">
        <f t="shared" si="9"/>
        <v>-1095</v>
      </c>
      <c r="G84">
        <v>-5</v>
      </c>
      <c r="H84">
        <f>$K$10+$K$11*Таблица1[[#This Row],[X]]+$K$12*Таблица1[[#This Row],[Y]]</f>
        <v>-5.3249999999999993</v>
      </c>
      <c r="I84">
        <f>ABS(Таблица1[[#This Row],[Предсказанные значения]]-Таблица1[[#This Row],[Z]])</f>
        <v>0.32499999999999929</v>
      </c>
    </row>
    <row r="85" spans="1:9" x14ac:dyDescent="0.25">
      <c r="A85">
        <v>84</v>
      </c>
      <c r="B85">
        <v>43</v>
      </c>
      <c r="C85">
        <v>392</v>
      </c>
      <c r="D85">
        <f t="shared" si="7"/>
        <v>16856</v>
      </c>
      <c r="E85">
        <f t="shared" si="8"/>
        <v>-215</v>
      </c>
      <c r="F85">
        <f t="shared" si="9"/>
        <v>-1960</v>
      </c>
      <c r="G85">
        <v>-5</v>
      </c>
      <c r="H85">
        <f>$K$10+$K$11*Таблица1[[#This Row],[X]]+$K$12*Таблица1[[#This Row],[Y]]</f>
        <v>-5.5150000000000006</v>
      </c>
      <c r="I85">
        <f>ABS(Таблица1[[#This Row],[Предсказанные значения]]-Таблица1[[#This Row],[Z]])</f>
        <v>0.51500000000000057</v>
      </c>
    </row>
    <row r="86" spans="1:9" x14ac:dyDescent="0.25">
      <c r="A86">
        <v>85</v>
      </c>
      <c r="B86">
        <v>46</v>
      </c>
      <c r="C86">
        <v>415</v>
      </c>
      <c r="D86">
        <f t="shared" si="7"/>
        <v>19090</v>
      </c>
      <c r="E86">
        <f t="shared" si="8"/>
        <v>-184</v>
      </c>
      <c r="F86">
        <f t="shared" si="9"/>
        <v>-1660</v>
      </c>
      <c r="G86">
        <v>-4</v>
      </c>
      <c r="H86">
        <f>$K$10+$K$11*Таблица1[[#This Row],[X]]+$K$12*Таблица1[[#This Row],[Y]]</f>
        <v>-5.0529999999999973</v>
      </c>
      <c r="I86">
        <f>ABS(Таблица1[[#This Row],[Предсказанные значения]]-Таблица1[[#This Row],[Z]])</f>
        <v>1.0529999999999973</v>
      </c>
    </row>
    <row r="87" spans="1:9" x14ac:dyDescent="0.25">
      <c r="A87">
        <v>86</v>
      </c>
      <c r="B87">
        <v>37</v>
      </c>
      <c r="C87">
        <v>341</v>
      </c>
      <c r="D87">
        <f t="shared" si="7"/>
        <v>12617</v>
      </c>
      <c r="E87">
        <f t="shared" si="8"/>
        <v>-296</v>
      </c>
      <c r="F87">
        <f t="shared" si="9"/>
        <v>-2728</v>
      </c>
      <c r="G87">
        <v>-8</v>
      </c>
      <c r="H87">
        <f>$K$10+$K$11*Таблица1[[#This Row],[X]]+$K$12*Таблица1[[#This Row],[Y]]</f>
        <v>-5.8689999999999998</v>
      </c>
      <c r="I87">
        <f>ABS(Таблица1[[#This Row],[Предсказанные значения]]-Таблица1[[#This Row],[Z]])</f>
        <v>2.1310000000000002</v>
      </c>
    </row>
    <row r="88" spans="1:9" x14ac:dyDescent="0.25">
      <c r="A88">
        <v>87</v>
      </c>
      <c r="B88">
        <v>35</v>
      </c>
      <c r="C88">
        <v>321</v>
      </c>
      <c r="D88">
        <f t="shared" si="7"/>
        <v>11235</v>
      </c>
      <c r="E88">
        <f t="shared" si="8"/>
        <v>-210</v>
      </c>
      <c r="F88">
        <f t="shared" si="9"/>
        <v>-1926</v>
      </c>
      <c r="G88">
        <v>-6</v>
      </c>
      <c r="H88">
        <f>$K$10+$K$11*Таблица1[[#This Row],[X]]+$K$12*Таблица1[[#This Row],[Y]]</f>
        <v>-5.644999999999996</v>
      </c>
      <c r="I88">
        <f>ABS(Таблица1[[#This Row],[Предсказанные значения]]-Таблица1[[#This Row],[Z]])</f>
        <v>0.35500000000000398</v>
      </c>
    </row>
    <row r="89" spans="1:9" x14ac:dyDescent="0.25">
      <c r="A89">
        <v>88</v>
      </c>
      <c r="B89">
        <v>28</v>
      </c>
      <c r="C89">
        <v>255</v>
      </c>
      <c r="D89">
        <f t="shared" si="7"/>
        <v>7140</v>
      </c>
      <c r="E89">
        <f t="shared" si="8"/>
        <v>-196</v>
      </c>
      <c r="F89">
        <f t="shared" si="9"/>
        <v>-1785</v>
      </c>
      <c r="G89">
        <v>-7</v>
      </c>
      <c r="H89">
        <f>$K$10+$K$11*Таблица1[[#This Row],[X]]+$K$12*Таблица1[[#This Row],[Y]]</f>
        <v>-5.3170000000000002</v>
      </c>
      <c r="I89">
        <f>ABS(Таблица1[[#This Row],[Предсказанные значения]]-Таблица1[[#This Row],[Z]])</f>
        <v>1.6829999999999998</v>
      </c>
    </row>
    <row r="90" spans="1:9" x14ac:dyDescent="0.25">
      <c r="A90">
        <v>89</v>
      </c>
      <c r="B90">
        <v>22</v>
      </c>
      <c r="C90">
        <v>206</v>
      </c>
      <c r="D90">
        <f t="shared" si="7"/>
        <v>4532</v>
      </c>
      <c r="E90">
        <f t="shared" si="8"/>
        <v>-22</v>
      </c>
      <c r="F90">
        <f t="shared" si="9"/>
        <v>-206</v>
      </c>
      <c r="G90">
        <v>-1</v>
      </c>
      <c r="H90">
        <f>$K$10+$K$11*Таблица1[[#This Row],[X]]+$K$12*Таблица1[[#This Row],[Y]]</f>
        <v>-5.8990000000000009</v>
      </c>
      <c r="I90">
        <f>ABS(Таблица1[[#This Row],[Предсказанные значения]]-Таблица1[[#This Row],[Z]])</f>
        <v>4.8990000000000009</v>
      </c>
    </row>
    <row r="91" spans="1:9" x14ac:dyDescent="0.25">
      <c r="A91">
        <v>90</v>
      </c>
      <c r="B91">
        <v>35</v>
      </c>
      <c r="C91">
        <v>324</v>
      </c>
      <c r="D91">
        <f t="shared" si="7"/>
        <v>11340</v>
      </c>
      <c r="E91">
        <f t="shared" si="8"/>
        <v>-350</v>
      </c>
      <c r="F91">
        <f t="shared" si="9"/>
        <v>-3240</v>
      </c>
      <c r="G91">
        <v>-10</v>
      </c>
      <c r="H91">
        <f>$K$10+$K$11*Таблица1[[#This Row],[X]]+$K$12*Таблица1[[#This Row],[Y]]</f>
        <v>-5.9869999999999948</v>
      </c>
      <c r="I91">
        <f>ABS(Таблица1[[#This Row],[Предсказанные значения]]-Таблица1[[#This Row],[Z]])</f>
        <v>4.0130000000000052</v>
      </c>
    </row>
    <row r="92" spans="1:9" x14ac:dyDescent="0.25">
      <c r="A92" s="1" t="s">
        <v>11</v>
      </c>
      <c r="B92">
        <f t="shared" ref="B92:G92" si="10">SUM(B2:B91)</f>
        <v>3215</v>
      </c>
      <c r="C92">
        <f t="shared" si="10"/>
        <v>29381</v>
      </c>
      <c r="D92">
        <f t="shared" si="10"/>
        <v>1112592</v>
      </c>
      <c r="E92">
        <f t="shared" si="10"/>
        <v>-17712</v>
      </c>
      <c r="F92">
        <f t="shared" si="10"/>
        <v>-161930</v>
      </c>
      <c r="G92">
        <f t="shared" si="10"/>
        <v>-496</v>
      </c>
    </row>
    <row r="93" spans="1:9" x14ac:dyDescent="0.25">
      <c r="A93" s="1" t="s">
        <v>12</v>
      </c>
      <c r="B93">
        <f>SUMSQ(B2:B91)</f>
        <v>121841</v>
      </c>
      <c r="C93">
        <f>SUMSQ(C2:C91)</f>
        <v>10160309</v>
      </c>
      <c r="D93">
        <f>SUMSQ(D2:D91)</f>
        <v>16780120310</v>
      </c>
    </row>
  </sheetData>
  <mergeCells count="1">
    <mergeCell ref="L29:N30"/>
  </mergeCells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B266-7CDF-413B-A37B-444A23596E28}">
  <dimension ref="A1:J91"/>
  <sheetViews>
    <sheetView workbookViewId="0">
      <selection activeCell="J5" sqref="J5"/>
    </sheetView>
  </sheetViews>
  <sheetFormatPr defaultRowHeight="15" x14ac:dyDescent="0.25"/>
  <cols>
    <col min="3" max="3" width="15.85546875" customWidth="1"/>
    <col min="4" max="4" width="15.7109375" customWidth="1"/>
    <col min="5" max="5" width="16.140625" bestFit="1" customWidth="1"/>
    <col min="6" max="7" width="16" bestFit="1" customWidth="1"/>
    <col min="8" max="8" width="19.85546875" bestFit="1" customWidth="1"/>
    <col min="9" max="10" width="10.5703125" bestFit="1" customWidth="1"/>
  </cols>
  <sheetData>
    <row r="1" spans="1:10" x14ac:dyDescent="0.25">
      <c r="A1" s="2" t="s">
        <v>0</v>
      </c>
      <c r="B1" s="2" t="s">
        <v>2</v>
      </c>
      <c r="C1" t="s">
        <v>1</v>
      </c>
      <c r="D1" t="s">
        <v>107</v>
      </c>
      <c r="E1" t="s">
        <v>34</v>
      </c>
      <c r="F1" t="s">
        <v>35</v>
      </c>
      <c r="G1" t="s">
        <v>40</v>
      </c>
      <c r="H1" t="s">
        <v>108</v>
      </c>
    </row>
    <row r="2" spans="1:10" x14ac:dyDescent="0.25">
      <c r="A2" s="3">
        <v>25</v>
      </c>
      <c r="B2" s="3">
        <v>233</v>
      </c>
      <c r="C2">
        <v>-7</v>
      </c>
      <c r="D2" s="6">
        <f>LN(Таблица3[[#This Row],[Z]]+exponential!$R$3)</f>
        <v>1.6094379124341003</v>
      </c>
      <c r="E2" s="6">
        <f>A2-AVERAGE($A$2:$A$91)</f>
        <v>-10.722222222222221</v>
      </c>
      <c r="F2" s="6">
        <f>B2-AVERAGE($B$2:$B$91)</f>
        <v>-93.455555555555577</v>
      </c>
      <c r="G2" s="6">
        <f>Таблица3[[#This Row],[Z]]-AVERAGE(Таблица3[Z])</f>
        <v>-1.4888888888888889</v>
      </c>
      <c r="H2" s="6">
        <f>Таблица3[[#This Row],[ln(Z'')]]-AVERAGE(Таблица3[ln(Z'')])</f>
        <v>-0.12197015590779414</v>
      </c>
      <c r="I2" t="s">
        <v>36</v>
      </c>
      <c r="J2" s="6">
        <f>SUMSQ($E$2:$E$91)</f>
        <v>6994.0555555555538</v>
      </c>
    </row>
    <row r="3" spans="1:10" x14ac:dyDescent="0.25">
      <c r="A3">
        <v>47</v>
      </c>
      <c r="B3">
        <v>432</v>
      </c>
      <c r="C3">
        <v>-6</v>
      </c>
      <c r="D3" s="6">
        <f>LN(Таблица3[[#This Row],[Z]]+exponential!$R$3)</f>
        <v>1.791759469228055</v>
      </c>
      <c r="E3" s="6">
        <f t="shared" ref="E3:E66" si="0">A3-AVERAGE($A$2:$A$91)</f>
        <v>11.277777777777779</v>
      </c>
      <c r="F3" s="6">
        <f t="shared" ref="F3:F66" si="1">B3-AVERAGE($B$2:$B$91)</f>
        <v>105.54444444444442</v>
      </c>
      <c r="G3" s="6">
        <f>Таблица3[[#This Row],[Z]]-AVERAGE(Таблица3[Z])</f>
        <v>-0.48888888888888893</v>
      </c>
      <c r="H3" s="6">
        <f>Таблица3[[#This Row],[ln(Z'')]]-AVERAGE(Таблица3[ln(Z'')])</f>
        <v>6.0351400886160533E-2</v>
      </c>
      <c r="I3" t="s">
        <v>37</v>
      </c>
      <c r="J3" s="6">
        <f>SUMSQ($F$2:$F$91)</f>
        <v>568718.32222222234</v>
      </c>
    </row>
    <row r="4" spans="1:10" x14ac:dyDescent="0.25">
      <c r="A4" s="3">
        <v>42</v>
      </c>
      <c r="B4" s="3">
        <v>385</v>
      </c>
      <c r="C4">
        <v>-10</v>
      </c>
      <c r="D4" s="6">
        <f>LN(Таблица3[[#This Row],[Z]]+exponential!$R$3)</f>
        <v>0.69314718055994529</v>
      </c>
      <c r="E4" s="6">
        <f t="shared" si="0"/>
        <v>6.2777777777777786</v>
      </c>
      <c r="F4" s="6">
        <f t="shared" si="1"/>
        <v>58.544444444444423</v>
      </c>
      <c r="G4" s="6">
        <f>Таблица3[[#This Row],[Z]]-AVERAGE(Таблица3[Z])</f>
        <v>-4.4888888888888889</v>
      </c>
      <c r="H4" s="6">
        <f>Таблица3[[#This Row],[ln(Z'')]]-AVERAGE(Таблица3[ln(Z'')])</f>
        <v>-1.038260887781949</v>
      </c>
      <c r="I4" t="s">
        <v>44</v>
      </c>
      <c r="J4" s="6">
        <f>SUMSQ($G$2:$G$91)</f>
        <v>848.48888888888882</v>
      </c>
    </row>
    <row r="5" spans="1:10" x14ac:dyDescent="0.25">
      <c r="A5">
        <v>38</v>
      </c>
      <c r="B5">
        <v>347</v>
      </c>
      <c r="C5">
        <v>-1</v>
      </c>
      <c r="D5" s="6">
        <f>LN(Таблица3[[#This Row],[Z]]+exponential!$R$3)</f>
        <v>2.3978952727983707</v>
      </c>
      <c r="E5" s="6">
        <f t="shared" si="0"/>
        <v>2.2777777777777786</v>
      </c>
      <c r="F5" s="6">
        <f t="shared" si="1"/>
        <v>20.544444444444423</v>
      </c>
      <c r="G5" s="6">
        <f>Таблица3[[#This Row],[Z]]-AVERAGE(Таблица3[Z])</f>
        <v>4.5111111111111111</v>
      </c>
      <c r="H5" s="6">
        <f>Таблица3[[#This Row],[ln(Z'')]]-AVERAGE(Таблица3[ln(Z'')])</f>
        <v>0.66648720445647625</v>
      </c>
      <c r="I5" t="s">
        <v>104</v>
      </c>
      <c r="J5" s="6">
        <f>SUMSQ($D$2:$D$91)</f>
        <v>298.35915423193296</v>
      </c>
    </row>
    <row r="6" spans="1:10" x14ac:dyDescent="0.25">
      <c r="A6" s="3">
        <v>30</v>
      </c>
      <c r="B6" s="3">
        <v>274</v>
      </c>
      <c r="C6">
        <v>-2</v>
      </c>
      <c r="D6" s="6">
        <f>LN(Таблица3[[#This Row],[Z]]+exponential!$R$3)</f>
        <v>2.3025850929940459</v>
      </c>
      <c r="E6" s="6">
        <f t="shared" si="0"/>
        <v>-5.7222222222222214</v>
      </c>
      <c r="F6" s="6">
        <f t="shared" si="1"/>
        <v>-52.455555555555577</v>
      </c>
      <c r="G6" s="6">
        <f>Таблица3[[#This Row],[Z]]-AVERAGE(Таблица3[Z])</f>
        <v>3.5111111111111111</v>
      </c>
      <c r="H6" s="6">
        <f>Таблица3[[#This Row],[ln(Z'')]]-AVERAGE(Таблица3[ln(Z'')])</f>
        <v>0.57117702465215148</v>
      </c>
    </row>
    <row r="7" spans="1:10" x14ac:dyDescent="0.25">
      <c r="A7">
        <v>30</v>
      </c>
      <c r="B7">
        <v>276</v>
      </c>
      <c r="C7">
        <v>-6</v>
      </c>
      <c r="D7" s="6">
        <f>LN(Таблица3[[#This Row],[Z]]+exponential!$R$3)</f>
        <v>1.791759469228055</v>
      </c>
      <c r="E7" s="6">
        <f t="shared" si="0"/>
        <v>-5.7222222222222214</v>
      </c>
      <c r="F7" s="6">
        <f t="shared" si="1"/>
        <v>-50.455555555555577</v>
      </c>
      <c r="G7" s="6">
        <f>Таблица3[[#This Row],[Z]]-AVERAGE(Таблица3[Z])</f>
        <v>-0.48888888888888893</v>
      </c>
      <c r="H7" s="6">
        <f>Таблица3[[#This Row],[ln(Z'')]]-AVERAGE(Таблица3[ln(Z'')])</f>
        <v>6.0351400886160533E-2</v>
      </c>
    </row>
    <row r="8" spans="1:10" x14ac:dyDescent="0.25">
      <c r="A8" s="3">
        <v>32</v>
      </c>
      <c r="B8" s="3">
        <v>294</v>
      </c>
      <c r="C8">
        <v>-6</v>
      </c>
      <c r="D8" s="6">
        <f>LN(Таблица3[[#This Row],[Z]]+exponential!$R$3)</f>
        <v>1.791759469228055</v>
      </c>
      <c r="E8" s="6">
        <f t="shared" si="0"/>
        <v>-3.7222222222222214</v>
      </c>
      <c r="F8" s="6">
        <f t="shared" si="1"/>
        <v>-32.455555555555577</v>
      </c>
      <c r="G8" s="6">
        <f>Таблица3[[#This Row],[Z]]-AVERAGE(Таблица3[Z])</f>
        <v>-0.48888888888888893</v>
      </c>
      <c r="H8" s="6">
        <f>Таблица3[[#This Row],[ln(Z'')]]-AVERAGE(Таблица3[ln(Z'')])</f>
        <v>6.0351400886160533E-2</v>
      </c>
    </row>
    <row r="9" spans="1:10" x14ac:dyDescent="0.25">
      <c r="A9">
        <v>38</v>
      </c>
      <c r="B9">
        <v>348</v>
      </c>
      <c r="C9">
        <v>-5</v>
      </c>
      <c r="D9" s="6">
        <f>LN(Таблица3[[#This Row],[Z]]+exponential!$R$3)</f>
        <v>1.9459101490553132</v>
      </c>
      <c r="E9" s="6">
        <f t="shared" si="0"/>
        <v>2.2777777777777786</v>
      </c>
      <c r="F9" s="6">
        <f t="shared" si="1"/>
        <v>21.544444444444423</v>
      </c>
      <c r="G9" s="6">
        <f>Таблица3[[#This Row],[Z]]-AVERAGE(Таблица3[Z])</f>
        <v>0.51111111111111107</v>
      </c>
      <c r="H9" s="6">
        <f>Таблица3[[#This Row],[ln(Z'')]]-AVERAGE(Таблица3[ln(Z'')])</f>
        <v>0.21450208071341881</v>
      </c>
    </row>
    <row r="10" spans="1:10" x14ac:dyDescent="0.25">
      <c r="A10" s="3">
        <v>34</v>
      </c>
      <c r="B10" s="3">
        <v>315</v>
      </c>
      <c r="C10">
        <v>-10</v>
      </c>
      <c r="D10" s="6">
        <f>LN(Таблица3[[#This Row],[Z]]+exponential!$R$3)</f>
        <v>0.69314718055994529</v>
      </c>
      <c r="E10" s="6">
        <f t="shared" si="0"/>
        <v>-1.7222222222222214</v>
      </c>
      <c r="F10" s="6">
        <f t="shared" si="1"/>
        <v>-11.455555555555577</v>
      </c>
      <c r="G10" s="6">
        <f>Таблица3[[#This Row],[Z]]-AVERAGE(Таблица3[Z])</f>
        <v>-4.4888888888888889</v>
      </c>
      <c r="H10" s="6">
        <f>Таблица3[[#This Row],[ln(Z'')]]-AVERAGE(Таблица3[ln(Z'')])</f>
        <v>-1.038260887781949</v>
      </c>
    </row>
    <row r="11" spans="1:10" x14ac:dyDescent="0.25">
      <c r="A11">
        <v>34</v>
      </c>
      <c r="B11">
        <v>307</v>
      </c>
      <c r="C11">
        <v>-4</v>
      </c>
      <c r="D11" s="6">
        <f>LN(Таблица3[[#This Row],[Z]]+exponential!$R$3)</f>
        <v>2.0794415416798357</v>
      </c>
      <c r="E11" s="6">
        <f t="shared" si="0"/>
        <v>-1.7222222222222214</v>
      </c>
      <c r="F11" s="6">
        <f t="shared" si="1"/>
        <v>-19.455555555555577</v>
      </c>
      <c r="G11" s="6">
        <f>Таблица3[[#This Row],[Z]]-AVERAGE(Таблица3[Z])</f>
        <v>1.5111111111111111</v>
      </c>
      <c r="H11" s="6">
        <f>Таблица3[[#This Row],[ln(Z'')]]-AVERAGE(Таблица3[ln(Z'')])</f>
        <v>0.34803347333794132</v>
      </c>
    </row>
    <row r="12" spans="1:10" x14ac:dyDescent="0.25">
      <c r="A12" s="3">
        <v>41</v>
      </c>
      <c r="B12" s="3">
        <v>377</v>
      </c>
      <c r="C12">
        <v>-9</v>
      </c>
      <c r="D12" s="6">
        <f>LN(Таблица3[[#This Row],[Z]]+exponential!$R$3)</f>
        <v>1.0986122886681098</v>
      </c>
      <c r="E12" s="6">
        <f t="shared" si="0"/>
        <v>5.2777777777777786</v>
      </c>
      <c r="F12" s="6">
        <f t="shared" si="1"/>
        <v>50.544444444444423</v>
      </c>
      <c r="G12" s="6">
        <f>Таблица3[[#This Row],[Z]]-AVERAGE(Таблица3[Z])</f>
        <v>-3.4888888888888889</v>
      </c>
      <c r="H12" s="6">
        <f>Таблица3[[#This Row],[ln(Z'')]]-AVERAGE(Таблица3[ln(Z'')])</f>
        <v>-0.63279577967378464</v>
      </c>
    </row>
    <row r="13" spans="1:10" x14ac:dyDescent="0.25">
      <c r="A13">
        <v>37</v>
      </c>
      <c r="B13">
        <v>338</v>
      </c>
      <c r="C13">
        <v>-5</v>
      </c>
      <c r="D13" s="6">
        <f>LN(Таблица3[[#This Row],[Z]]+exponential!$R$3)</f>
        <v>1.9459101490553132</v>
      </c>
      <c r="E13" s="6">
        <f t="shared" si="0"/>
        <v>1.2777777777777786</v>
      </c>
      <c r="F13" s="6">
        <f t="shared" si="1"/>
        <v>11.544444444444423</v>
      </c>
      <c r="G13" s="6">
        <f>Таблица3[[#This Row],[Z]]-AVERAGE(Таблица3[Z])</f>
        <v>0.51111111111111107</v>
      </c>
      <c r="H13" s="6">
        <f>Таблица3[[#This Row],[ln(Z'')]]-AVERAGE(Таблица3[ln(Z'')])</f>
        <v>0.21450208071341881</v>
      </c>
    </row>
    <row r="14" spans="1:10" x14ac:dyDescent="0.25">
      <c r="A14" s="3">
        <v>39</v>
      </c>
      <c r="B14" s="3">
        <v>353</v>
      </c>
      <c r="C14">
        <v>-7</v>
      </c>
      <c r="D14" s="6">
        <f>LN(Таблица3[[#This Row],[Z]]+exponential!$R$3)</f>
        <v>1.6094379124341003</v>
      </c>
      <c r="E14" s="6">
        <f t="shared" si="0"/>
        <v>3.2777777777777786</v>
      </c>
      <c r="F14" s="6">
        <f t="shared" si="1"/>
        <v>26.544444444444423</v>
      </c>
      <c r="G14" s="6">
        <f>Таблица3[[#This Row],[Z]]-AVERAGE(Таблица3[Z])</f>
        <v>-1.4888888888888889</v>
      </c>
      <c r="H14" s="6">
        <f>Таблица3[[#This Row],[ln(Z'')]]-AVERAGE(Таблица3[ln(Z'')])</f>
        <v>-0.12197015590779414</v>
      </c>
    </row>
    <row r="15" spans="1:10" x14ac:dyDescent="0.25">
      <c r="A15">
        <v>36</v>
      </c>
      <c r="B15">
        <v>332</v>
      </c>
      <c r="C15">
        <v>-3</v>
      </c>
      <c r="D15" s="6">
        <f>LN(Таблица3[[#This Row],[Z]]+exponential!$R$3)</f>
        <v>2.1972245773362196</v>
      </c>
      <c r="E15" s="6">
        <f t="shared" si="0"/>
        <v>0.27777777777777857</v>
      </c>
      <c r="F15" s="6">
        <f t="shared" si="1"/>
        <v>5.544444444444423</v>
      </c>
      <c r="G15" s="6">
        <f>Таблица3[[#This Row],[Z]]-AVERAGE(Таблица3[Z])</f>
        <v>2.5111111111111111</v>
      </c>
      <c r="H15" s="6">
        <f>Таблица3[[#This Row],[ln(Z'')]]-AVERAGE(Таблица3[ln(Z'')])</f>
        <v>0.46581650899432514</v>
      </c>
    </row>
    <row r="16" spans="1:10" x14ac:dyDescent="0.25">
      <c r="A16" s="3">
        <v>34</v>
      </c>
      <c r="B16" s="3">
        <v>307</v>
      </c>
      <c r="C16">
        <v>-10</v>
      </c>
      <c r="D16" s="6">
        <f>LN(Таблица3[[#This Row],[Z]]+exponential!$R$3)</f>
        <v>0.69314718055994529</v>
      </c>
      <c r="E16" s="6">
        <f t="shared" si="0"/>
        <v>-1.7222222222222214</v>
      </c>
      <c r="F16" s="6">
        <f t="shared" si="1"/>
        <v>-19.455555555555577</v>
      </c>
      <c r="G16" s="6">
        <f>Таблица3[[#This Row],[Z]]-AVERAGE(Таблица3[Z])</f>
        <v>-4.4888888888888889</v>
      </c>
      <c r="H16" s="6">
        <f>Таблица3[[#This Row],[ln(Z'')]]-AVERAGE(Таблица3[ln(Z'')])</f>
        <v>-1.038260887781949</v>
      </c>
    </row>
    <row r="17" spans="1:8" x14ac:dyDescent="0.25">
      <c r="A17">
        <v>29</v>
      </c>
      <c r="B17">
        <v>264</v>
      </c>
      <c r="C17">
        <v>-1</v>
      </c>
      <c r="D17" s="6">
        <f>LN(Таблица3[[#This Row],[Z]]+exponential!$R$3)</f>
        <v>2.3978952727983707</v>
      </c>
      <c r="E17" s="6">
        <f t="shared" si="0"/>
        <v>-6.7222222222222214</v>
      </c>
      <c r="F17" s="6">
        <f t="shared" si="1"/>
        <v>-62.455555555555577</v>
      </c>
      <c r="G17" s="6">
        <f>Таблица3[[#This Row],[Z]]-AVERAGE(Таблица3[Z])</f>
        <v>4.5111111111111111</v>
      </c>
      <c r="H17" s="6">
        <f>Таблица3[[#This Row],[ln(Z'')]]-AVERAGE(Таблица3[ln(Z'')])</f>
        <v>0.66648720445647625</v>
      </c>
    </row>
    <row r="18" spans="1:8" x14ac:dyDescent="0.25">
      <c r="A18" s="3">
        <v>31</v>
      </c>
      <c r="B18" s="3">
        <v>285</v>
      </c>
      <c r="C18">
        <v>-3</v>
      </c>
      <c r="D18" s="6">
        <f>LN(Таблица3[[#This Row],[Z]]+exponential!$R$3)</f>
        <v>2.1972245773362196</v>
      </c>
      <c r="E18" s="6">
        <f t="shared" si="0"/>
        <v>-4.7222222222222214</v>
      </c>
      <c r="F18" s="6">
        <f t="shared" si="1"/>
        <v>-41.455555555555577</v>
      </c>
      <c r="G18" s="6">
        <f>Таблица3[[#This Row],[Z]]-AVERAGE(Таблица3[Z])</f>
        <v>2.5111111111111111</v>
      </c>
      <c r="H18" s="6">
        <f>Таблица3[[#This Row],[ln(Z'')]]-AVERAGE(Таблица3[ln(Z'')])</f>
        <v>0.46581650899432514</v>
      </c>
    </row>
    <row r="19" spans="1:8" x14ac:dyDescent="0.25">
      <c r="A19">
        <v>41</v>
      </c>
      <c r="B19">
        <v>377</v>
      </c>
      <c r="C19">
        <v>-5</v>
      </c>
      <c r="D19" s="6">
        <f>LN(Таблица3[[#This Row],[Z]]+exponential!$R$3)</f>
        <v>1.9459101490553132</v>
      </c>
      <c r="E19" s="6">
        <f t="shared" si="0"/>
        <v>5.2777777777777786</v>
      </c>
      <c r="F19" s="6">
        <f t="shared" si="1"/>
        <v>50.544444444444423</v>
      </c>
      <c r="G19" s="6">
        <f>Таблица3[[#This Row],[Z]]-AVERAGE(Таблица3[Z])</f>
        <v>0.51111111111111107</v>
      </c>
      <c r="H19" s="6">
        <f>Таблица3[[#This Row],[ln(Z'')]]-AVERAGE(Таблица3[ln(Z'')])</f>
        <v>0.21450208071341881</v>
      </c>
    </row>
    <row r="20" spans="1:8" x14ac:dyDescent="0.25">
      <c r="A20" s="3">
        <v>15</v>
      </c>
      <c r="B20" s="3">
        <v>137</v>
      </c>
      <c r="C20">
        <v>-5</v>
      </c>
      <c r="D20" s="6">
        <f>LN(Таблица3[[#This Row],[Z]]+exponential!$R$3)</f>
        <v>1.9459101490553132</v>
      </c>
      <c r="E20" s="6">
        <f t="shared" si="0"/>
        <v>-20.722222222222221</v>
      </c>
      <c r="F20" s="6">
        <f t="shared" si="1"/>
        <v>-189.45555555555558</v>
      </c>
      <c r="G20" s="6">
        <f>Таблица3[[#This Row],[Z]]-AVERAGE(Таблица3[Z])</f>
        <v>0.51111111111111107</v>
      </c>
      <c r="H20" s="6">
        <f>Таблица3[[#This Row],[ln(Z'')]]-AVERAGE(Таблица3[ln(Z'')])</f>
        <v>0.21450208071341881</v>
      </c>
    </row>
    <row r="21" spans="1:8" x14ac:dyDescent="0.25">
      <c r="A21">
        <v>27</v>
      </c>
      <c r="B21">
        <v>245</v>
      </c>
      <c r="C21">
        <v>-1</v>
      </c>
      <c r="D21" s="6">
        <f>LN(Таблица3[[#This Row],[Z]]+exponential!$R$3)</f>
        <v>2.3978952727983707</v>
      </c>
      <c r="E21" s="6">
        <f t="shared" si="0"/>
        <v>-8.7222222222222214</v>
      </c>
      <c r="F21" s="6">
        <f t="shared" si="1"/>
        <v>-81.455555555555577</v>
      </c>
      <c r="G21" s="6">
        <f>Таблица3[[#This Row],[Z]]-AVERAGE(Таблица3[Z])</f>
        <v>4.5111111111111111</v>
      </c>
      <c r="H21" s="6">
        <f>Таблица3[[#This Row],[ln(Z'')]]-AVERAGE(Таблица3[ln(Z'')])</f>
        <v>0.66648720445647625</v>
      </c>
    </row>
    <row r="22" spans="1:8" x14ac:dyDescent="0.25">
      <c r="A22" s="3">
        <v>46</v>
      </c>
      <c r="B22" s="3">
        <v>421</v>
      </c>
      <c r="C22">
        <v>1</v>
      </c>
      <c r="D22" s="6">
        <f>LN(Таблица3[[#This Row],[Z]]+exponential!$R$3)</f>
        <v>2.5649493574615367</v>
      </c>
      <c r="E22" s="6">
        <f t="shared" si="0"/>
        <v>10.277777777777779</v>
      </c>
      <c r="F22" s="6">
        <f t="shared" si="1"/>
        <v>94.544444444444423</v>
      </c>
      <c r="G22" s="6">
        <f>Таблица3[[#This Row],[Z]]-AVERAGE(Таблица3[Z])</f>
        <v>6.5111111111111111</v>
      </c>
      <c r="H22" s="6">
        <f>Таблица3[[#This Row],[ln(Z'')]]-AVERAGE(Таблица3[ln(Z'')])</f>
        <v>0.83354128911964231</v>
      </c>
    </row>
    <row r="23" spans="1:8" x14ac:dyDescent="0.25">
      <c r="A23">
        <v>34</v>
      </c>
      <c r="B23">
        <v>313</v>
      </c>
      <c r="C23">
        <v>-10</v>
      </c>
      <c r="D23" s="6">
        <f>LN(Таблица3[[#This Row],[Z]]+exponential!$R$3)</f>
        <v>0.69314718055994529</v>
      </c>
      <c r="E23" s="6">
        <f t="shared" si="0"/>
        <v>-1.7222222222222214</v>
      </c>
      <c r="F23" s="6">
        <f t="shared" si="1"/>
        <v>-13.455555555555577</v>
      </c>
      <c r="G23" s="6">
        <f>Таблица3[[#This Row],[Z]]-AVERAGE(Таблица3[Z])</f>
        <v>-4.4888888888888889</v>
      </c>
      <c r="H23" s="6">
        <f>Таблица3[[#This Row],[ln(Z'')]]-AVERAGE(Таблица3[ln(Z'')])</f>
        <v>-1.038260887781949</v>
      </c>
    </row>
    <row r="24" spans="1:8" x14ac:dyDescent="0.25">
      <c r="A24" s="3">
        <v>39</v>
      </c>
      <c r="B24" s="3">
        <v>359</v>
      </c>
      <c r="C24">
        <v>-3</v>
      </c>
      <c r="D24" s="6">
        <f>LN(Таблица3[[#This Row],[Z]]+exponential!$R$3)</f>
        <v>2.1972245773362196</v>
      </c>
      <c r="E24" s="6">
        <f t="shared" si="0"/>
        <v>3.2777777777777786</v>
      </c>
      <c r="F24" s="6">
        <f t="shared" si="1"/>
        <v>32.544444444444423</v>
      </c>
      <c r="G24" s="6">
        <f>Таблица3[[#This Row],[Z]]-AVERAGE(Таблица3[Z])</f>
        <v>2.5111111111111111</v>
      </c>
      <c r="H24" s="6">
        <f>Таблица3[[#This Row],[ln(Z'')]]-AVERAGE(Таблица3[ln(Z'')])</f>
        <v>0.46581650899432514</v>
      </c>
    </row>
    <row r="25" spans="1:8" x14ac:dyDescent="0.25">
      <c r="A25">
        <v>49</v>
      </c>
      <c r="B25">
        <v>443</v>
      </c>
      <c r="C25">
        <v>-9</v>
      </c>
      <c r="D25" s="6">
        <f>LN(Таблица3[[#This Row],[Z]]+exponential!$R$3)</f>
        <v>1.0986122886681098</v>
      </c>
      <c r="E25" s="6">
        <f t="shared" si="0"/>
        <v>13.277777777777779</v>
      </c>
      <c r="F25" s="6">
        <f t="shared" si="1"/>
        <v>116.54444444444442</v>
      </c>
      <c r="G25" s="6">
        <f>Таблица3[[#This Row],[Z]]-AVERAGE(Таблица3[Z])</f>
        <v>-3.4888888888888889</v>
      </c>
      <c r="H25" s="6">
        <f>Таблица3[[#This Row],[ln(Z'')]]-AVERAGE(Таблица3[ln(Z'')])</f>
        <v>-0.63279577967378464</v>
      </c>
    </row>
    <row r="26" spans="1:8" x14ac:dyDescent="0.25">
      <c r="A26" s="3">
        <v>22</v>
      </c>
      <c r="B26" s="3">
        <v>201</v>
      </c>
      <c r="C26">
        <v>-6</v>
      </c>
      <c r="D26" s="6">
        <f>LN(Таблица3[[#This Row],[Z]]+exponential!$R$3)</f>
        <v>1.791759469228055</v>
      </c>
      <c r="E26" s="6">
        <f t="shared" si="0"/>
        <v>-13.722222222222221</v>
      </c>
      <c r="F26" s="6">
        <f t="shared" si="1"/>
        <v>-125.45555555555558</v>
      </c>
      <c r="G26" s="6">
        <f>Таблица3[[#This Row],[Z]]-AVERAGE(Таблица3[Z])</f>
        <v>-0.48888888888888893</v>
      </c>
      <c r="H26" s="6">
        <f>Таблица3[[#This Row],[ln(Z'')]]-AVERAGE(Таблица3[ln(Z'')])</f>
        <v>6.0351400886160533E-2</v>
      </c>
    </row>
    <row r="27" spans="1:8" x14ac:dyDescent="0.25">
      <c r="A27">
        <v>48</v>
      </c>
      <c r="B27">
        <v>440</v>
      </c>
      <c r="C27">
        <v>-2</v>
      </c>
      <c r="D27" s="6">
        <f>LN(Таблица3[[#This Row],[Z]]+exponential!$R$3)</f>
        <v>2.3025850929940459</v>
      </c>
      <c r="E27" s="6">
        <f t="shared" si="0"/>
        <v>12.277777777777779</v>
      </c>
      <c r="F27" s="6">
        <f t="shared" si="1"/>
        <v>113.54444444444442</v>
      </c>
      <c r="G27" s="6">
        <f>Таблица3[[#This Row],[Z]]-AVERAGE(Таблица3[Z])</f>
        <v>3.5111111111111111</v>
      </c>
      <c r="H27" s="6">
        <f>Таблица3[[#This Row],[ln(Z'')]]-AVERAGE(Таблица3[ln(Z'')])</f>
        <v>0.57117702465215148</v>
      </c>
    </row>
    <row r="28" spans="1:8" x14ac:dyDescent="0.25">
      <c r="A28" s="3">
        <v>30</v>
      </c>
      <c r="B28" s="3">
        <v>274</v>
      </c>
      <c r="C28">
        <v>-2</v>
      </c>
      <c r="D28" s="6">
        <f>LN(Таблица3[[#This Row],[Z]]+exponential!$R$3)</f>
        <v>2.3025850929940459</v>
      </c>
      <c r="E28" s="6">
        <f t="shared" si="0"/>
        <v>-5.7222222222222214</v>
      </c>
      <c r="F28" s="6">
        <f t="shared" si="1"/>
        <v>-52.455555555555577</v>
      </c>
      <c r="G28" s="6">
        <f>Таблица3[[#This Row],[Z]]-AVERAGE(Таблица3[Z])</f>
        <v>3.5111111111111111</v>
      </c>
      <c r="H28" s="6">
        <f>Таблица3[[#This Row],[ln(Z'')]]-AVERAGE(Таблица3[ln(Z'')])</f>
        <v>0.57117702465215148</v>
      </c>
    </row>
    <row r="29" spans="1:8" x14ac:dyDescent="0.25">
      <c r="A29">
        <v>29</v>
      </c>
      <c r="B29">
        <v>261</v>
      </c>
      <c r="C29">
        <v>-8</v>
      </c>
      <c r="D29" s="6">
        <f>LN(Таблица3[[#This Row],[Z]]+exponential!$R$3)</f>
        <v>1.3862943611198906</v>
      </c>
      <c r="E29" s="6">
        <f t="shared" si="0"/>
        <v>-6.7222222222222214</v>
      </c>
      <c r="F29" s="6">
        <f t="shared" si="1"/>
        <v>-65.455555555555577</v>
      </c>
      <c r="G29" s="6">
        <f>Таблица3[[#This Row],[Z]]-AVERAGE(Таблица3[Z])</f>
        <v>-2.4888888888888889</v>
      </c>
      <c r="H29" s="6">
        <f>Таблица3[[#This Row],[ln(Z'')]]-AVERAGE(Таблица3[ln(Z'')])</f>
        <v>-0.34511370722200385</v>
      </c>
    </row>
    <row r="30" spans="1:8" x14ac:dyDescent="0.25">
      <c r="A30" s="3">
        <v>29</v>
      </c>
      <c r="B30" s="3">
        <v>270</v>
      </c>
      <c r="C30">
        <v>-9</v>
      </c>
      <c r="D30" s="6">
        <f>LN(Таблица3[[#This Row],[Z]]+exponential!$R$3)</f>
        <v>1.0986122886681098</v>
      </c>
      <c r="E30" s="6">
        <f t="shared" si="0"/>
        <v>-6.7222222222222214</v>
      </c>
      <c r="F30" s="6">
        <f t="shared" si="1"/>
        <v>-56.455555555555577</v>
      </c>
      <c r="G30" s="6">
        <f>Таблица3[[#This Row],[Z]]-AVERAGE(Таблица3[Z])</f>
        <v>-3.4888888888888889</v>
      </c>
      <c r="H30" s="6">
        <f>Таблица3[[#This Row],[ln(Z'')]]-AVERAGE(Таблица3[ln(Z'')])</f>
        <v>-0.63279577967378464</v>
      </c>
    </row>
    <row r="31" spans="1:8" x14ac:dyDescent="0.25">
      <c r="A31">
        <v>38</v>
      </c>
      <c r="B31">
        <v>345</v>
      </c>
      <c r="C31">
        <v>-2</v>
      </c>
      <c r="D31" s="6">
        <f>LN(Таблица3[[#This Row],[Z]]+exponential!$R$3)</f>
        <v>2.3025850929940459</v>
      </c>
      <c r="E31" s="6">
        <f t="shared" si="0"/>
        <v>2.2777777777777786</v>
      </c>
      <c r="F31" s="6">
        <f t="shared" si="1"/>
        <v>18.544444444444423</v>
      </c>
      <c r="G31" s="6">
        <f>Таблица3[[#This Row],[Z]]-AVERAGE(Таблица3[Z])</f>
        <v>3.5111111111111111</v>
      </c>
      <c r="H31" s="6">
        <f>Таблица3[[#This Row],[ln(Z'')]]-AVERAGE(Таблица3[ln(Z'')])</f>
        <v>0.57117702465215148</v>
      </c>
    </row>
    <row r="32" spans="1:8" x14ac:dyDescent="0.25">
      <c r="A32" s="3">
        <v>37</v>
      </c>
      <c r="B32" s="3">
        <v>334</v>
      </c>
      <c r="C32">
        <v>-8</v>
      </c>
      <c r="D32" s="6">
        <f>LN(Таблица3[[#This Row],[Z]]+exponential!$R$3)</f>
        <v>1.3862943611198906</v>
      </c>
      <c r="E32" s="6">
        <f t="shared" si="0"/>
        <v>1.2777777777777786</v>
      </c>
      <c r="F32" s="6">
        <f t="shared" si="1"/>
        <v>7.544444444444423</v>
      </c>
      <c r="G32" s="6">
        <f>Таблица3[[#This Row],[Z]]-AVERAGE(Таблица3[Z])</f>
        <v>-2.4888888888888889</v>
      </c>
      <c r="H32" s="6">
        <f>Таблица3[[#This Row],[ln(Z'')]]-AVERAGE(Таблица3[ln(Z'')])</f>
        <v>-0.34511370722200385</v>
      </c>
    </row>
    <row r="33" spans="1:8" x14ac:dyDescent="0.25">
      <c r="A33">
        <v>55</v>
      </c>
      <c r="B33">
        <v>498</v>
      </c>
      <c r="C33">
        <v>-9</v>
      </c>
      <c r="D33" s="6">
        <f>LN(Таблица3[[#This Row],[Z]]+exponential!$R$3)</f>
        <v>1.0986122886681098</v>
      </c>
      <c r="E33" s="6">
        <f t="shared" si="0"/>
        <v>19.277777777777779</v>
      </c>
      <c r="F33" s="6">
        <f t="shared" si="1"/>
        <v>171.54444444444442</v>
      </c>
      <c r="G33" s="6">
        <f>Таблица3[[#This Row],[Z]]-AVERAGE(Таблица3[Z])</f>
        <v>-3.4888888888888889</v>
      </c>
      <c r="H33" s="6">
        <f>Таблица3[[#This Row],[ln(Z'')]]-AVERAGE(Таблица3[ln(Z'')])</f>
        <v>-0.63279577967378464</v>
      </c>
    </row>
    <row r="34" spans="1:8" x14ac:dyDescent="0.25">
      <c r="A34" s="3">
        <v>38</v>
      </c>
      <c r="B34" s="3">
        <v>342</v>
      </c>
      <c r="C34">
        <v>-7</v>
      </c>
      <c r="D34" s="6">
        <f>LN(Таблица3[[#This Row],[Z]]+exponential!$R$3)</f>
        <v>1.6094379124341003</v>
      </c>
      <c r="E34" s="6">
        <f t="shared" si="0"/>
        <v>2.2777777777777786</v>
      </c>
      <c r="F34" s="6">
        <f t="shared" si="1"/>
        <v>15.544444444444423</v>
      </c>
      <c r="G34" s="6">
        <f>Таблица3[[#This Row],[Z]]-AVERAGE(Таблица3[Z])</f>
        <v>-1.4888888888888889</v>
      </c>
      <c r="H34" s="6">
        <f>Таблица3[[#This Row],[ln(Z'')]]-AVERAGE(Таблица3[ln(Z'')])</f>
        <v>-0.12197015590779414</v>
      </c>
    </row>
    <row r="35" spans="1:8" x14ac:dyDescent="0.25">
      <c r="A35">
        <v>27</v>
      </c>
      <c r="B35">
        <v>250</v>
      </c>
      <c r="C35">
        <v>-2</v>
      </c>
      <c r="D35" s="6">
        <f>LN(Таблица3[[#This Row],[Z]]+exponential!$R$3)</f>
        <v>2.3025850929940459</v>
      </c>
      <c r="E35" s="6">
        <f t="shared" si="0"/>
        <v>-8.7222222222222214</v>
      </c>
      <c r="F35" s="6">
        <f t="shared" si="1"/>
        <v>-76.455555555555577</v>
      </c>
      <c r="G35" s="6">
        <f>Таблица3[[#This Row],[Z]]-AVERAGE(Таблица3[Z])</f>
        <v>3.5111111111111111</v>
      </c>
      <c r="H35" s="6">
        <f>Таблица3[[#This Row],[ln(Z'')]]-AVERAGE(Таблица3[ln(Z'')])</f>
        <v>0.57117702465215148</v>
      </c>
    </row>
    <row r="36" spans="1:8" x14ac:dyDescent="0.25">
      <c r="A36" s="3">
        <v>44</v>
      </c>
      <c r="B36" s="3">
        <v>403</v>
      </c>
      <c r="C36">
        <v>-5</v>
      </c>
      <c r="D36" s="6">
        <f>LN(Таблица3[[#This Row],[Z]]+exponential!$R$3)</f>
        <v>1.9459101490553132</v>
      </c>
      <c r="E36" s="6">
        <f t="shared" si="0"/>
        <v>8.2777777777777786</v>
      </c>
      <c r="F36" s="6">
        <f t="shared" si="1"/>
        <v>76.544444444444423</v>
      </c>
      <c r="G36" s="6">
        <f>Таблица3[[#This Row],[Z]]-AVERAGE(Таблица3[Z])</f>
        <v>0.51111111111111107</v>
      </c>
      <c r="H36" s="6">
        <f>Таблица3[[#This Row],[ln(Z'')]]-AVERAGE(Таблица3[ln(Z'')])</f>
        <v>0.21450208071341881</v>
      </c>
    </row>
    <row r="37" spans="1:8" x14ac:dyDescent="0.25">
      <c r="A37">
        <v>48</v>
      </c>
      <c r="B37">
        <v>434</v>
      </c>
      <c r="C37">
        <v>-3</v>
      </c>
      <c r="D37" s="6">
        <f>LN(Таблица3[[#This Row],[Z]]+exponential!$R$3)</f>
        <v>2.1972245773362196</v>
      </c>
      <c r="E37" s="6">
        <f t="shared" si="0"/>
        <v>12.277777777777779</v>
      </c>
      <c r="F37" s="6">
        <f t="shared" si="1"/>
        <v>107.54444444444442</v>
      </c>
      <c r="G37" s="6">
        <f>Таблица3[[#This Row],[Z]]-AVERAGE(Таблица3[Z])</f>
        <v>2.5111111111111111</v>
      </c>
      <c r="H37" s="6">
        <f>Таблица3[[#This Row],[ln(Z'')]]-AVERAGE(Таблица3[ln(Z'')])</f>
        <v>0.46581650899432514</v>
      </c>
    </row>
    <row r="38" spans="1:8" x14ac:dyDescent="0.25">
      <c r="A38" s="3">
        <v>35</v>
      </c>
      <c r="B38" s="3">
        <v>320</v>
      </c>
      <c r="C38">
        <v>-6</v>
      </c>
      <c r="D38" s="6">
        <f>LN(Таблица3[[#This Row],[Z]]+exponential!$R$3)</f>
        <v>1.791759469228055</v>
      </c>
      <c r="E38" s="6">
        <f t="shared" si="0"/>
        <v>-0.72222222222222143</v>
      </c>
      <c r="F38" s="6">
        <f t="shared" si="1"/>
        <v>-6.455555555555577</v>
      </c>
      <c r="G38" s="6">
        <f>Таблица3[[#This Row],[Z]]-AVERAGE(Таблица3[Z])</f>
        <v>-0.48888888888888893</v>
      </c>
      <c r="H38" s="6">
        <f>Таблица3[[#This Row],[ln(Z'')]]-AVERAGE(Таблица3[ln(Z'')])</f>
        <v>6.0351400886160533E-2</v>
      </c>
    </row>
    <row r="39" spans="1:8" x14ac:dyDescent="0.25">
      <c r="A39">
        <v>35</v>
      </c>
      <c r="B39">
        <v>318</v>
      </c>
      <c r="C39">
        <v>-10</v>
      </c>
      <c r="D39" s="6">
        <f>LN(Таблица3[[#This Row],[Z]]+exponential!$R$3)</f>
        <v>0.69314718055994529</v>
      </c>
      <c r="E39" s="6">
        <f t="shared" si="0"/>
        <v>-0.72222222222222143</v>
      </c>
      <c r="F39" s="6">
        <f t="shared" si="1"/>
        <v>-8.455555555555577</v>
      </c>
      <c r="G39" s="6">
        <f>Таблица3[[#This Row],[Z]]-AVERAGE(Таблица3[Z])</f>
        <v>-4.4888888888888889</v>
      </c>
      <c r="H39" s="6">
        <f>Таблица3[[#This Row],[ln(Z'')]]-AVERAGE(Таблица3[ln(Z'')])</f>
        <v>-1.038260887781949</v>
      </c>
    </row>
    <row r="40" spans="1:8" x14ac:dyDescent="0.25">
      <c r="A40" s="3">
        <v>28</v>
      </c>
      <c r="B40" s="3">
        <v>256</v>
      </c>
      <c r="C40">
        <v>-4</v>
      </c>
      <c r="D40" s="6">
        <f>LN(Таблица3[[#This Row],[Z]]+exponential!$R$3)</f>
        <v>2.0794415416798357</v>
      </c>
      <c r="E40" s="6">
        <f t="shared" si="0"/>
        <v>-7.7222222222222214</v>
      </c>
      <c r="F40" s="6">
        <f t="shared" si="1"/>
        <v>-70.455555555555577</v>
      </c>
      <c r="G40" s="6">
        <f>Таблица3[[#This Row],[Z]]-AVERAGE(Таблица3[Z])</f>
        <v>1.5111111111111111</v>
      </c>
      <c r="H40" s="6">
        <f>Таблица3[[#This Row],[ln(Z'')]]-AVERAGE(Таблица3[ln(Z'')])</f>
        <v>0.34803347333794132</v>
      </c>
    </row>
    <row r="41" spans="1:8" x14ac:dyDescent="0.25">
      <c r="A41">
        <v>39</v>
      </c>
      <c r="B41">
        <v>358</v>
      </c>
      <c r="C41">
        <v>-7</v>
      </c>
      <c r="D41" s="6">
        <f>LN(Таблица3[[#This Row],[Z]]+exponential!$R$3)</f>
        <v>1.6094379124341003</v>
      </c>
      <c r="E41" s="6">
        <f t="shared" si="0"/>
        <v>3.2777777777777786</v>
      </c>
      <c r="F41" s="6">
        <f t="shared" si="1"/>
        <v>31.544444444444423</v>
      </c>
      <c r="G41" s="6">
        <f>Таблица3[[#This Row],[Z]]-AVERAGE(Таблица3[Z])</f>
        <v>-1.4888888888888889</v>
      </c>
      <c r="H41" s="6">
        <f>Таблица3[[#This Row],[ln(Z'')]]-AVERAGE(Таблица3[ln(Z'')])</f>
        <v>-0.12197015590779414</v>
      </c>
    </row>
    <row r="42" spans="1:8" x14ac:dyDescent="0.25">
      <c r="A42" s="3">
        <v>38</v>
      </c>
      <c r="B42" s="3">
        <v>347</v>
      </c>
      <c r="C42">
        <v>-2</v>
      </c>
      <c r="D42" s="6">
        <f>LN(Таблица3[[#This Row],[Z]]+exponential!$R$3)</f>
        <v>2.3025850929940459</v>
      </c>
      <c r="E42" s="6">
        <f t="shared" si="0"/>
        <v>2.2777777777777786</v>
      </c>
      <c r="F42" s="6">
        <f t="shared" si="1"/>
        <v>20.544444444444423</v>
      </c>
      <c r="G42" s="6">
        <f>Таблица3[[#This Row],[Z]]-AVERAGE(Таблица3[Z])</f>
        <v>3.5111111111111111</v>
      </c>
      <c r="H42" s="6">
        <f>Таблица3[[#This Row],[ln(Z'')]]-AVERAGE(Таблица3[ln(Z'')])</f>
        <v>0.57117702465215148</v>
      </c>
    </row>
    <row r="43" spans="1:8" x14ac:dyDescent="0.25">
      <c r="A43">
        <v>35</v>
      </c>
      <c r="B43">
        <v>318</v>
      </c>
      <c r="C43">
        <v>-4</v>
      </c>
      <c r="D43" s="6">
        <f>LN(Таблица3[[#This Row],[Z]]+exponential!$R$3)</f>
        <v>2.0794415416798357</v>
      </c>
      <c r="E43" s="6">
        <f t="shared" si="0"/>
        <v>-0.72222222222222143</v>
      </c>
      <c r="F43" s="6">
        <f t="shared" si="1"/>
        <v>-8.455555555555577</v>
      </c>
      <c r="G43" s="6">
        <f>Таблица3[[#This Row],[Z]]-AVERAGE(Таблица3[Z])</f>
        <v>1.5111111111111111</v>
      </c>
      <c r="H43" s="6">
        <f>Таблица3[[#This Row],[ln(Z'')]]-AVERAGE(Таблица3[ln(Z'')])</f>
        <v>0.34803347333794132</v>
      </c>
    </row>
    <row r="44" spans="1:8" x14ac:dyDescent="0.25">
      <c r="A44" s="3">
        <v>40</v>
      </c>
      <c r="B44" s="3">
        <v>369</v>
      </c>
      <c r="C44">
        <v>-10</v>
      </c>
      <c r="D44" s="6">
        <f>LN(Таблица3[[#This Row],[Z]]+exponential!$R$3)</f>
        <v>0.69314718055994529</v>
      </c>
      <c r="E44" s="6">
        <f t="shared" si="0"/>
        <v>4.2777777777777786</v>
      </c>
      <c r="F44" s="6">
        <f t="shared" si="1"/>
        <v>42.544444444444423</v>
      </c>
      <c r="G44" s="6">
        <f>Таблица3[[#This Row],[Z]]-AVERAGE(Таблица3[Z])</f>
        <v>-4.4888888888888889</v>
      </c>
      <c r="H44" s="6">
        <f>Таблица3[[#This Row],[ln(Z'')]]-AVERAGE(Таблица3[ln(Z'')])</f>
        <v>-1.038260887781949</v>
      </c>
    </row>
    <row r="45" spans="1:8" x14ac:dyDescent="0.25">
      <c r="A45">
        <v>44</v>
      </c>
      <c r="B45">
        <v>400</v>
      </c>
      <c r="C45">
        <v>-10</v>
      </c>
      <c r="D45" s="6">
        <f>LN(Таблица3[[#This Row],[Z]]+exponential!$R$3)</f>
        <v>0.69314718055994529</v>
      </c>
      <c r="E45" s="6">
        <f t="shared" si="0"/>
        <v>8.2777777777777786</v>
      </c>
      <c r="F45" s="6">
        <f t="shared" si="1"/>
        <v>73.544444444444423</v>
      </c>
      <c r="G45" s="6">
        <f>Таблица3[[#This Row],[Z]]-AVERAGE(Таблица3[Z])</f>
        <v>-4.4888888888888889</v>
      </c>
      <c r="H45" s="6">
        <f>Таблица3[[#This Row],[ln(Z'')]]-AVERAGE(Таблица3[ln(Z'')])</f>
        <v>-1.038260887781949</v>
      </c>
    </row>
    <row r="46" spans="1:8" x14ac:dyDescent="0.25">
      <c r="A46" s="3">
        <v>30</v>
      </c>
      <c r="B46" s="3">
        <v>277</v>
      </c>
      <c r="C46">
        <v>-9</v>
      </c>
      <c r="D46" s="6">
        <f>LN(Таблица3[[#This Row],[Z]]+exponential!$R$3)</f>
        <v>1.0986122886681098</v>
      </c>
      <c r="E46" s="6">
        <f t="shared" si="0"/>
        <v>-5.7222222222222214</v>
      </c>
      <c r="F46" s="6">
        <f t="shared" si="1"/>
        <v>-49.455555555555577</v>
      </c>
      <c r="G46" s="6">
        <f>Таблица3[[#This Row],[Z]]-AVERAGE(Таблица3[Z])</f>
        <v>-3.4888888888888889</v>
      </c>
      <c r="H46" s="6">
        <f>Таблица3[[#This Row],[ln(Z'')]]-AVERAGE(Таблица3[ln(Z'')])</f>
        <v>-0.63279577967378464</v>
      </c>
    </row>
    <row r="47" spans="1:8" x14ac:dyDescent="0.25">
      <c r="A47">
        <v>43</v>
      </c>
      <c r="B47">
        <v>395</v>
      </c>
      <c r="C47">
        <v>-10</v>
      </c>
      <c r="D47" s="6">
        <f>LN(Таблица3[[#This Row],[Z]]+exponential!$R$3)</f>
        <v>0.69314718055994529</v>
      </c>
      <c r="E47" s="6">
        <f t="shared" si="0"/>
        <v>7.2777777777777786</v>
      </c>
      <c r="F47" s="6">
        <f t="shared" si="1"/>
        <v>68.544444444444423</v>
      </c>
      <c r="G47" s="6">
        <f>Таблица3[[#This Row],[Z]]-AVERAGE(Таблица3[Z])</f>
        <v>-4.4888888888888889</v>
      </c>
      <c r="H47" s="6">
        <f>Таблица3[[#This Row],[ln(Z'')]]-AVERAGE(Таблица3[ln(Z'')])</f>
        <v>-1.038260887781949</v>
      </c>
    </row>
    <row r="48" spans="1:8" x14ac:dyDescent="0.25">
      <c r="A48" s="3">
        <v>43</v>
      </c>
      <c r="B48" s="3">
        <v>392</v>
      </c>
      <c r="C48">
        <v>-10</v>
      </c>
      <c r="D48" s="6">
        <f>LN(Таблица3[[#This Row],[Z]]+exponential!$R$3)</f>
        <v>0.69314718055994529</v>
      </c>
      <c r="E48" s="6">
        <f t="shared" si="0"/>
        <v>7.2777777777777786</v>
      </c>
      <c r="F48" s="6">
        <f t="shared" si="1"/>
        <v>65.544444444444423</v>
      </c>
      <c r="G48" s="6">
        <f>Таблица3[[#This Row],[Z]]-AVERAGE(Таблица3[Z])</f>
        <v>-4.4888888888888889</v>
      </c>
      <c r="H48" s="6">
        <f>Таблица3[[#This Row],[ln(Z'')]]-AVERAGE(Таблица3[ln(Z'')])</f>
        <v>-1.038260887781949</v>
      </c>
    </row>
    <row r="49" spans="1:8" x14ac:dyDescent="0.25">
      <c r="A49">
        <v>27</v>
      </c>
      <c r="B49">
        <v>245</v>
      </c>
      <c r="C49">
        <v>-7</v>
      </c>
      <c r="D49" s="6">
        <f>LN(Таблица3[[#This Row],[Z]]+exponential!$R$3)</f>
        <v>1.6094379124341003</v>
      </c>
      <c r="E49" s="6">
        <f t="shared" si="0"/>
        <v>-8.7222222222222214</v>
      </c>
      <c r="F49" s="6">
        <f t="shared" si="1"/>
        <v>-81.455555555555577</v>
      </c>
      <c r="G49" s="6">
        <f>Таблица3[[#This Row],[Z]]-AVERAGE(Таблица3[Z])</f>
        <v>-1.4888888888888889</v>
      </c>
      <c r="H49" s="6">
        <f>Таблица3[[#This Row],[ln(Z'')]]-AVERAGE(Таблица3[ln(Z'')])</f>
        <v>-0.12197015590779414</v>
      </c>
    </row>
    <row r="50" spans="1:8" x14ac:dyDescent="0.25">
      <c r="A50" s="3">
        <v>49</v>
      </c>
      <c r="B50" s="3">
        <v>445</v>
      </c>
      <c r="C50">
        <v>1</v>
      </c>
      <c r="D50" s="6">
        <f>LN(Таблица3[[#This Row],[Z]]+exponential!$R$3)</f>
        <v>2.5649493574615367</v>
      </c>
      <c r="E50" s="6">
        <f t="shared" si="0"/>
        <v>13.277777777777779</v>
      </c>
      <c r="F50" s="6">
        <f t="shared" si="1"/>
        <v>118.54444444444442</v>
      </c>
      <c r="G50" s="6">
        <f>Таблица3[[#This Row],[Z]]-AVERAGE(Таблица3[Z])</f>
        <v>6.5111111111111111</v>
      </c>
      <c r="H50" s="6">
        <f>Таблица3[[#This Row],[ln(Z'')]]-AVERAGE(Таблица3[ln(Z'')])</f>
        <v>0.83354128911964231</v>
      </c>
    </row>
    <row r="51" spans="1:8" x14ac:dyDescent="0.25">
      <c r="A51">
        <v>35</v>
      </c>
      <c r="B51">
        <v>323</v>
      </c>
      <c r="C51">
        <v>2</v>
      </c>
      <c r="D51" s="6">
        <f>LN(Таблица3[[#This Row],[Z]]+exponential!$R$3)</f>
        <v>2.6390573296152584</v>
      </c>
      <c r="E51" s="6">
        <f t="shared" si="0"/>
        <v>-0.72222222222222143</v>
      </c>
      <c r="F51" s="6">
        <f t="shared" si="1"/>
        <v>-3.455555555555577</v>
      </c>
      <c r="G51" s="6">
        <f>Таблица3[[#This Row],[Z]]-AVERAGE(Таблица3[Z])</f>
        <v>7.5111111111111111</v>
      </c>
      <c r="H51" s="6">
        <f>Таблица3[[#This Row],[ln(Z'')]]-AVERAGE(Таблица3[ln(Z'')])</f>
        <v>0.90764926127336398</v>
      </c>
    </row>
    <row r="52" spans="1:8" x14ac:dyDescent="0.25">
      <c r="A52" s="3">
        <v>36</v>
      </c>
      <c r="B52" s="3">
        <v>331</v>
      </c>
      <c r="C52">
        <v>-10</v>
      </c>
      <c r="D52" s="6">
        <f>LN(Таблица3[[#This Row],[Z]]+exponential!$R$3)</f>
        <v>0.69314718055994529</v>
      </c>
      <c r="E52" s="6">
        <f t="shared" si="0"/>
        <v>0.27777777777777857</v>
      </c>
      <c r="F52" s="6">
        <f t="shared" si="1"/>
        <v>4.544444444444423</v>
      </c>
      <c r="G52" s="6">
        <f>Таблица3[[#This Row],[Z]]-AVERAGE(Таблица3[Z])</f>
        <v>-4.4888888888888889</v>
      </c>
      <c r="H52" s="6">
        <f>Таблица3[[#This Row],[ln(Z'')]]-AVERAGE(Таблица3[ln(Z'')])</f>
        <v>-1.038260887781949</v>
      </c>
    </row>
    <row r="53" spans="1:8" x14ac:dyDescent="0.25">
      <c r="A53">
        <v>15</v>
      </c>
      <c r="B53">
        <v>140</v>
      </c>
      <c r="C53">
        <v>-2</v>
      </c>
      <c r="D53" s="6">
        <f>LN(Таблица3[[#This Row],[Z]]+exponential!$R$3)</f>
        <v>2.3025850929940459</v>
      </c>
      <c r="E53" s="6">
        <f t="shared" si="0"/>
        <v>-20.722222222222221</v>
      </c>
      <c r="F53" s="6">
        <f t="shared" si="1"/>
        <v>-186.45555555555558</v>
      </c>
      <c r="G53" s="6">
        <f>Таблица3[[#This Row],[Z]]-AVERAGE(Таблица3[Z])</f>
        <v>3.5111111111111111</v>
      </c>
      <c r="H53" s="6">
        <f>Таблица3[[#This Row],[ln(Z'')]]-AVERAGE(Таблица3[ln(Z'')])</f>
        <v>0.57117702465215148</v>
      </c>
    </row>
    <row r="54" spans="1:8" x14ac:dyDescent="0.25">
      <c r="A54" s="3">
        <v>33</v>
      </c>
      <c r="B54" s="3">
        <v>303</v>
      </c>
      <c r="C54">
        <v>-6</v>
      </c>
      <c r="D54" s="6">
        <f>LN(Таблица3[[#This Row],[Z]]+exponential!$R$3)</f>
        <v>1.791759469228055</v>
      </c>
      <c r="E54" s="6">
        <f t="shared" si="0"/>
        <v>-2.7222222222222214</v>
      </c>
      <c r="F54" s="6">
        <f t="shared" si="1"/>
        <v>-23.455555555555577</v>
      </c>
      <c r="G54" s="6">
        <f>Таблица3[[#This Row],[Z]]-AVERAGE(Таблица3[Z])</f>
        <v>-0.48888888888888893</v>
      </c>
      <c r="H54" s="6">
        <f>Таблица3[[#This Row],[ln(Z'')]]-AVERAGE(Таблица3[ln(Z'')])</f>
        <v>6.0351400886160533E-2</v>
      </c>
    </row>
    <row r="55" spans="1:8" x14ac:dyDescent="0.25">
      <c r="A55">
        <v>27</v>
      </c>
      <c r="B55">
        <v>247</v>
      </c>
      <c r="C55">
        <v>-7</v>
      </c>
      <c r="D55" s="6">
        <f>LN(Таблица3[[#This Row],[Z]]+exponential!$R$3)</f>
        <v>1.6094379124341003</v>
      </c>
      <c r="E55" s="6">
        <f t="shared" si="0"/>
        <v>-8.7222222222222214</v>
      </c>
      <c r="F55" s="6">
        <f t="shared" si="1"/>
        <v>-79.455555555555577</v>
      </c>
      <c r="G55" s="6">
        <f>Таблица3[[#This Row],[Z]]-AVERAGE(Таблица3[Z])</f>
        <v>-1.4888888888888889</v>
      </c>
      <c r="H55" s="6">
        <f>Таблица3[[#This Row],[ln(Z'')]]-AVERAGE(Таблица3[ln(Z'')])</f>
        <v>-0.12197015590779414</v>
      </c>
    </row>
    <row r="56" spans="1:8" x14ac:dyDescent="0.25">
      <c r="A56" s="3">
        <v>43</v>
      </c>
      <c r="B56" s="3">
        <v>387</v>
      </c>
      <c r="C56">
        <v>-3</v>
      </c>
      <c r="D56" s="6">
        <f>LN(Таблица3[[#This Row],[Z]]+exponential!$R$3)</f>
        <v>2.1972245773362196</v>
      </c>
      <c r="E56" s="6">
        <f t="shared" si="0"/>
        <v>7.2777777777777786</v>
      </c>
      <c r="F56" s="6">
        <f t="shared" si="1"/>
        <v>60.544444444444423</v>
      </c>
      <c r="G56" s="6">
        <f>Таблица3[[#This Row],[Z]]-AVERAGE(Таблица3[Z])</f>
        <v>2.5111111111111111</v>
      </c>
      <c r="H56" s="6">
        <f>Таблица3[[#This Row],[ln(Z'')]]-AVERAGE(Таблица3[ln(Z'')])</f>
        <v>0.46581650899432514</v>
      </c>
    </row>
    <row r="57" spans="1:8" x14ac:dyDescent="0.25">
      <c r="A57">
        <v>47</v>
      </c>
      <c r="B57">
        <v>426</v>
      </c>
      <c r="C57">
        <v>-7</v>
      </c>
      <c r="D57" s="6">
        <f>LN(Таблица3[[#This Row],[Z]]+exponential!$R$3)</f>
        <v>1.6094379124341003</v>
      </c>
      <c r="E57" s="6">
        <f t="shared" si="0"/>
        <v>11.277777777777779</v>
      </c>
      <c r="F57" s="6">
        <f t="shared" si="1"/>
        <v>99.544444444444423</v>
      </c>
      <c r="G57" s="6">
        <f>Таблица3[[#This Row],[Z]]-AVERAGE(Таблица3[Z])</f>
        <v>-1.4888888888888889</v>
      </c>
      <c r="H57" s="6">
        <f>Таблица3[[#This Row],[ln(Z'')]]-AVERAGE(Таблица3[ln(Z'')])</f>
        <v>-0.12197015590779414</v>
      </c>
    </row>
    <row r="58" spans="1:8" x14ac:dyDescent="0.25">
      <c r="A58" s="3">
        <v>33</v>
      </c>
      <c r="B58" s="3">
        <v>304</v>
      </c>
      <c r="C58">
        <v>-6</v>
      </c>
      <c r="D58" s="6">
        <f>LN(Таблица3[[#This Row],[Z]]+exponential!$R$3)</f>
        <v>1.791759469228055</v>
      </c>
      <c r="E58" s="6">
        <f t="shared" si="0"/>
        <v>-2.7222222222222214</v>
      </c>
      <c r="F58" s="6">
        <f t="shared" si="1"/>
        <v>-22.455555555555577</v>
      </c>
      <c r="G58" s="6">
        <f>Таблица3[[#This Row],[Z]]-AVERAGE(Таблица3[Z])</f>
        <v>-0.48888888888888893</v>
      </c>
      <c r="H58" s="6">
        <f>Таблица3[[#This Row],[ln(Z'')]]-AVERAGE(Таблица3[ln(Z'')])</f>
        <v>6.0351400886160533E-2</v>
      </c>
    </row>
    <row r="59" spans="1:8" x14ac:dyDescent="0.25">
      <c r="A59">
        <v>28</v>
      </c>
      <c r="B59">
        <v>257</v>
      </c>
      <c r="C59">
        <v>-9</v>
      </c>
      <c r="D59" s="6">
        <f>LN(Таблица3[[#This Row],[Z]]+exponential!$R$3)</f>
        <v>1.0986122886681098</v>
      </c>
      <c r="E59" s="6">
        <f t="shared" si="0"/>
        <v>-7.7222222222222214</v>
      </c>
      <c r="F59" s="6">
        <f t="shared" si="1"/>
        <v>-69.455555555555577</v>
      </c>
      <c r="G59" s="6">
        <f>Таблица3[[#This Row],[Z]]-AVERAGE(Таблица3[Z])</f>
        <v>-3.4888888888888889</v>
      </c>
      <c r="H59" s="6">
        <f>Таблица3[[#This Row],[ln(Z'')]]-AVERAGE(Таблица3[ln(Z'')])</f>
        <v>-0.63279577967378464</v>
      </c>
    </row>
    <row r="60" spans="1:8" x14ac:dyDescent="0.25">
      <c r="A60" s="3">
        <v>41</v>
      </c>
      <c r="B60" s="3">
        <v>377</v>
      </c>
      <c r="C60">
        <v>-5</v>
      </c>
      <c r="D60" s="6">
        <f>LN(Таблица3[[#This Row],[Z]]+exponential!$R$3)</f>
        <v>1.9459101490553132</v>
      </c>
      <c r="E60" s="6">
        <f t="shared" si="0"/>
        <v>5.2777777777777786</v>
      </c>
      <c r="F60" s="6">
        <f t="shared" si="1"/>
        <v>50.544444444444423</v>
      </c>
      <c r="G60" s="6">
        <f>Таблица3[[#This Row],[Z]]-AVERAGE(Таблица3[Z])</f>
        <v>0.51111111111111107</v>
      </c>
      <c r="H60" s="6">
        <f>Таблица3[[#This Row],[ln(Z'')]]-AVERAGE(Таблица3[ln(Z'')])</f>
        <v>0.21450208071341881</v>
      </c>
    </row>
    <row r="61" spans="1:8" x14ac:dyDescent="0.25">
      <c r="A61">
        <v>59</v>
      </c>
      <c r="B61">
        <v>535</v>
      </c>
      <c r="C61">
        <v>-1</v>
      </c>
      <c r="D61" s="6">
        <f>LN(Таблица3[[#This Row],[Z]]+exponential!$R$3)</f>
        <v>2.3978952727983707</v>
      </c>
      <c r="E61" s="6">
        <f t="shared" si="0"/>
        <v>23.277777777777779</v>
      </c>
      <c r="F61" s="6">
        <f t="shared" si="1"/>
        <v>208.54444444444442</v>
      </c>
      <c r="G61" s="6">
        <f>Таблица3[[#This Row],[Z]]-AVERAGE(Таблица3[Z])</f>
        <v>4.5111111111111111</v>
      </c>
      <c r="H61" s="6">
        <f>Таблица3[[#This Row],[ln(Z'')]]-AVERAGE(Таблица3[ln(Z'')])</f>
        <v>0.66648720445647625</v>
      </c>
    </row>
    <row r="62" spans="1:8" x14ac:dyDescent="0.25">
      <c r="A62" s="3">
        <v>23</v>
      </c>
      <c r="B62" s="3">
        <v>208</v>
      </c>
      <c r="C62">
        <v>-5</v>
      </c>
      <c r="D62" s="6">
        <f>LN(Таблица3[[#This Row],[Z]]+exponential!$R$3)</f>
        <v>1.9459101490553132</v>
      </c>
      <c r="E62" s="6">
        <f t="shared" si="0"/>
        <v>-12.722222222222221</v>
      </c>
      <c r="F62" s="6">
        <f t="shared" si="1"/>
        <v>-118.45555555555558</v>
      </c>
      <c r="G62" s="6">
        <f>Таблица3[[#This Row],[Z]]-AVERAGE(Таблица3[Z])</f>
        <v>0.51111111111111107</v>
      </c>
      <c r="H62" s="6">
        <f>Таблица3[[#This Row],[ln(Z'')]]-AVERAGE(Таблица3[ln(Z'')])</f>
        <v>0.21450208071341881</v>
      </c>
    </row>
    <row r="63" spans="1:8" x14ac:dyDescent="0.25">
      <c r="A63">
        <v>39</v>
      </c>
      <c r="B63">
        <v>357</v>
      </c>
      <c r="C63">
        <v>-4</v>
      </c>
      <c r="D63" s="6">
        <f>LN(Таблица3[[#This Row],[Z]]+exponential!$R$3)</f>
        <v>2.0794415416798357</v>
      </c>
      <c r="E63" s="6">
        <f t="shared" si="0"/>
        <v>3.2777777777777786</v>
      </c>
      <c r="F63" s="6">
        <f t="shared" si="1"/>
        <v>30.544444444444423</v>
      </c>
      <c r="G63" s="6">
        <f>Таблица3[[#This Row],[Z]]-AVERAGE(Таблица3[Z])</f>
        <v>1.5111111111111111</v>
      </c>
      <c r="H63" s="6">
        <f>Таблица3[[#This Row],[ln(Z'')]]-AVERAGE(Таблица3[ln(Z'')])</f>
        <v>0.34803347333794132</v>
      </c>
    </row>
    <row r="64" spans="1:8" x14ac:dyDescent="0.25">
      <c r="A64" s="3">
        <v>37</v>
      </c>
      <c r="B64" s="3">
        <v>337</v>
      </c>
      <c r="C64">
        <v>-3</v>
      </c>
      <c r="D64" s="6">
        <f>LN(Таблица3[[#This Row],[Z]]+exponential!$R$3)</f>
        <v>2.1972245773362196</v>
      </c>
      <c r="E64" s="6">
        <f t="shared" si="0"/>
        <v>1.2777777777777786</v>
      </c>
      <c r="F64" s="6">
        <f t="shared" si="1"/>
        <v>10.544444444444423</v>
      </c>
      <c r="G64" s="6">
        <f>Таблица3[[#This Row],[Z]]-AVERAGE(Таблица3[Z])</f>
        <v>2.5111111111111111</v>
      </c>
      <c r="H64" s="6">
        <f>Таблица3[[#This Row],[ln(Z'')]]-AVERAGE(Таблица3[ln(Z'')])</f>
        <v>0.46581650899432514</v>
      </c>
    </row>
    <row r="65" spans="1:8" x14ac:dyDescent="0.25">
      <c r="A65">
        <v>49</v>
      </c>
      <c r="B65">
        <v>447</v>
      </c>
      <c r="C65">
        <v>-2</v>
      </c>
      <c r="D65" s="6">
        <f>LN(Таблица3[[#This Row],[Z]]+exponential!$R$3)</f>
        <v>2.3025850929940459</v>
      </c>
      <c r="E65" s="6">
        <f t="shared" si="0"/>
        <v>13.277777777777779</v>
      </c>
      <c r="F65" s="6">
        <f t="shared" si="1"/>
        <v>120.54444444444442</v>
      </c>
      <c r="G65" s="6">
        <f>Таблица3[[#This Row],[Z]]-AVERAGE(Таблица3[Z])</f>
        <v>3.5111111111111111</v>
      </c>
      <c r="H65" s="6">
        <f>Таблица3[[#This Row],[ln(Z'')]]-AVERAGE(Таблица3[ln(Z'')])</f>
        <v>0.57117702465215148</v>
      </c>
    </row>
    <row r="66" spans="1:8" x14ac:dyDescent="0.25">
      <c r="A66" s="3">
        <v>26</v>
      </c>
      <c r="B66" s="3">
        <v>238</v>
      </c>
      <c r="C66">
        <v>-7</v>
      </c>
      <c r="D66" s="6">
        <f>LN(Таблица3[[#This Row],[Z]]+exponential!$R$3)</f>
        <v>1.6094379124341003</v>
      </c>
      <c r="E66" s="6">
        <f t="shared" si="0"/>
        <v>-9.7222222222222214</v>
      </c>
      <c r="F66" s="6">
        <f t="shared" si="1"/>
        <v>-88.455555555555577</v>
      </c>
      <c r="G66" s="6">
        <f>Таблица3[[#This Row],[Z]]-AVERAGE(Таблица3[Z])</f>
        <v>-1.4888888888888889</v>
      </c>
      <c r="H66" s="6">
        <f>Таблица3[[#This Row],[ln(Z'')]]-AVERAGE(Таблица3[ln(Z'')])</f>
        <v>-0.12197015590779414</v>
      </c>
    </row>
    <row r="67" spans="1:8" x14ac:dyDescent="0.25">
      <c r="A67">
        <v>20</v>
      </c>
      <c r="B67">
        <v>182</v>
      </c>
      <c r="C67">
        <v>-3</v>
      </c>
      <c r="D67" s="6">
        <f>LN(Таблица3[[#This Row],[Z]]+exponential!$R$3)</f>
        <v>2.1972245773362196</v>
      </c>
      <c r="E67" s="6">
        <f t="shared" ref="E67:E91" si="2">A67-AVERAGE($A$2:$A$91)</f>
        <v>-15.722222222222221</v>
      </c>
      <c r="F67" s="6">
        <f t="shared" ref="F67:F91" si="3">B67-AVERAGE($B$2:$B$91)</f>
        <v>-144.45555555555558</v>
      </c>
      <c r="G67" s="6">
        <f>Таблица3[[#This Row],[Z]]-AVERAGE(Таблица3[Z])</f>
        <v>2.5111111111111111</v>
      </c>
      <c r="H67" s="6">
        <f>Таблица3[[#This Row],[ln(Z'')]]-AVERAGE(Таблица3[ln(Z'')])</f>
        <v>0.46581650899432514</v>
      </c>
    </row>
    <row r="68" spans="1:8" x14ac:dyDescent="0.25">
      <c r="A68" s="3">
        <v>48</v>
      </c>
      <c r="B68" s="3">
        <v>437</v>
      </c>
      <c r="C68">
        <v>-9</v>
      </c>
      <c r="D68" s="6">
        <f>LN(Таблица3[[#This Row],[Z]]+exponential!$R$3)</f>
        <v>1.0986122886681098</v>
      </c>
      <c r="E68" s="6">
        <f t="shared" si="2"/>
        <v>12.277777777777779</v>
      </c>
      <c r="F68" s="6">
        <f t="shared" si="3"/>
        <v>110.54444444444442</v>
      </c>
      <c r="G68" s="6">
        <f>Таблица3[[#This Row],[Z]]-AVERAGE(Таблица3[Z])</f>
        <v>-3.4888888888888889</v>
      </c>
      <c r="H68" s="6">
        <f>Таблица3[[#This Row],[ln(Z'')]]-AVERAGE(Таблица3[ln(Z'')])</f>
        <v>-0.63279577967378464</v>
      </c>
    </row>
    <row r="69" spans="1:8" x14ac:dyDescent="0.25">
      <c r="A69">
        <v>32</v>
      </c>
      <c r="B69">
        <v>292</v>
      </c>
      <c r="C69">
        <v>-10</v>
      </c>
      <c r="D69" s="6">
        <f>LN(Таблица3[[#This Row],[Z]]+exponential!$R$3)</f>
        <v>0.69314718055994529</v>
      </c>
      <c r="E69" s="6">
        <f t="shared" si="2"/>
        <v>-3.7222222222222214</v>
      </c>
      <c r="F69" s="6">
        <f t="shared" si="3"/>
        <v>-34.455555555555577</v>
      </c>
      <c r="G69" s="6">
        <f>Таблица3[[#This Row],[Z]]-AVERAGE(Таблица3[Z])</f>
        <v>-4.4888888888888889</v>
      </c>
      <c r="H69" s="6">
        <f>Таблица3[[#This Row],[ln(Z'')]]-AVERAGE(Таблица3[ln(Z'')])</f>
        <v>-1.038260887781949</v>
      </c>
    </row>
    <row r="70" spans="1:8" x14ac:dyDescent="0.25">
      <c r="A70" s="3">
        <v>52</v>
      </c>
      <c r="B70" s="3">
        <v>473</v>
      </c>
      <c r="C70">
        <v>-8</v>
      </c>
      <c r="D70" s="6">
        <f>LN(Таблица3[[#This Row],[Z]]+exponential!$R$3)</f>
        <v>1.3862943611198906</v>
      </c>
      <c r="E70" s="6">
        <f t="shared" si="2"/>
        <v>16.277777777777779</v>
      </c>
      <c r="F70" s="6">
        <f t="shared" si="3"/>
        <v>146.54444444444442</v>
      </c>
      <c r="G70" s="6">
        <f>Таблица3[[#This Row],[Z]]-AVERAGE(Таблица3[Z])</f>
        <v>-2.4888888888888889</v>
      </c>
      <c r="H70" s="6">
        <f>Таблица3[[#This Row],[ln(Z'')]]-AVERAGE(Таблица3[ln(Z'')])</f>
        <v>-0.34511370722200385</v>
      </c>
    </row>
    <row r="71" spans="1:8" x14ac:dyDescent="0.25">
      <c r="A71">
        <v>43</v>
      </c>
      <c r="B71">
        <v>392</v>
      </c>
      <c r="C71">
        <v>-1</v>
      </c>
      <c r="D71" s="6">
        <f>LN(Таблица3[[#This Row],[Z]]+exponential!$R$3)</f>
        <v>2.3978952727983707</v>
      </c>
      <c r="E71" s="6">
        <f t="shared" si="2"/>
        <v>7.2777777777777786</v>
      </c>
      <c r="F71" s="6">
        <f t="shared" si="3"/>
        <v>65.544444444444423</v>
      </c>
      <c r="G71" s="6">
        <f>Таблица3[[#This Row],[Z]]-AVERAGE(Таблица3[Z])</f>
        <v>4.5111111111111111</v>
      </c>
      <c r="H71" s="6">
        <f>Таблица3[[#This Row],[ln(Z'')]]-AVERAGE(Таблица3[ln(Z'')])</f>
        <v>0.66648720445647625</v>
      </c>
    </row>
    <row r="72" spans="1:8" x14ac:dyDescent="0.25">
      <c r="A72" s="3">
        <v>49</v>
      </c>
      <c r="B72" s="3">
        <v>442</v>
      </c>
      <c r="C72">
        <v>-2</v>
      </c>
      <c r="D72" s="6">
        <f>LN(Таблица3[[#This Row],[Z]]+exponential!$R$3)</f>
        <v>2.3025850929940459</v>
      </c>
      <c r="E72" s="6">
        <f t="shared" si="2"/>
        <v>13.277777777777779</v>
      </c>
      <c r="F72" s="6">
        <f t="shared" si="3"/>
        <v>115.54444444444442</v>
      </c>
      <c r="G72" s="6">
        <f>Таблица3[[#This Row],[Z]]-AVERAGE(Таблица3[Z])</f>
        <v>3.5111111111111111</v>
      </c>
      <c r="H72" s="6">
        <f>Таблица3[[#This Row],[ln(Z'')]]-AVERAGE(Таблица3[ln(Z'')])</f>
        <v>0.57117702465215148</v>
      </c>
    </row>
    <row r="73" spans="1:8" x14ac:dyDescent="0.25">
      <c r="A73">
        <v>39</v>
      </c>
      <c r="B73">
        <v>356</v>
      </c>
      <c r="C73">
        <v>-7</v>
      </c>
      <c r="D73" s="6">
        <f>LN(Таблица3[[#This Row],[Z]]+exponential!$R$3)</f>
        <v>1.6094379124341003</v>
      </c>
      <c r="E73" s="6">
        <f t="shared" si="2"/>
        <v>3.2777777777777786</v>
      </c>
      <c r="F73" s="6">
        <f t="shared" si="3"/>
        <v>29.544444444444423</v>
      </c>
      <c r="G73" s="6">
        <f>Таблица3[[#This Row],[Z]]-AVERAGE(Таблица3[Z])</f>
        <v>-1.4888888888888889</v>
      </c>
      <c r="H73" s="6">
        <f>Таблица3[[#This Row],[ln(Z'')]]-AVERAGE(Таблица3[ln(Z'')])</f>
        <v>-0.12197015590779414</v>
      </c>
    </row>
    <row r="74" spans="1:8" x14ac:dyDescent="0.25">
      <c r="A74" s="3">
        <v>42</v>
      </c>
      <c r="B74" s="3">
        <v>386</v>
      </c>
      <c r="C74">
        <v>-3</v>
      </c>
      <c r="D74" s="6">
        <f>LN(Таблица3[[#This Row],[Z]]+exponential!$R$3)</f>
        <v>2.1972245773362196</v>
      </c>
      <c r="E74" s="6">
        <f t="shared" si="2"/>
        <v>6.2777777777777786</v>
      </c>
      <c r="F74" s="6">
        <f t="shared" si="3"/>
        <v>59.544444444444423</v>
      </c>
      <c r="G74" s="6">
        <f>Таблица3[[#This Row],[Z]]-AVERAGE(Таблица3[Z])</f>
        <v>2.5111111111111111</v>
      </c>
      <c r="H74" s="6">
        <f>Таблица3[[#This Row],[ln(Z'')]]-AVERAGE(Таблица3[ln(Z'')])</f>
        <v>0.46581650899432514</v>
      </c>
    </row>
    <row r="75" spans="1:8" x14ac:dyDescent="0.25">
      <c r="A75">
        <v>37</v>
      </c>
      <c r="B75">
        <v>338</v>
      </c>
      <c r="C75">
        <v>-5</v>
      </c>
      <c r="D75" s="6">
        <f>LN(Таблица3[[#This Row],[Z]]+exponential!$R$3)</f>
        <v>1.9459101490553132</v>
      </c>
      <c r="E75" s="6">
        <f t="shared" si="2"/>
        <v>1.2777777777777786</v>
      </c>
      <c r="F75" s="6">
        <f t="shared" si="3"/>
        <v>11.544444444444423</v>
      </c>
      <c r="G75" s="6">
        <f>Таблица3[[#This Row],[Z]]-AVERAGE(Таблица3[Z])</f>
        <v>0.51111111111111107</v>
      </c>
      <c r="H75" s="6">
        <f>Таблица3[[#This Row],[ln(Z'')]]-AVERAGE(Таблица3[ln(Z'')])</f>
        <v>0.21450208071341881</v>
      </c>
    </row>
    <row r="76" spans="1:8" x14ac:dyDescent="0.25">
      <c r="A76" s="3">
        <v>30</v>
      </c>
      <c r="B76" s="3">
        <v>277</v>
      </c>
      <c r="C76">
        <v>-4</v>
      </c>
      <c r="D76" s="6">
        <f>LN(Таблица3[[#This Row],[Z]]+exponential!$R$3)</f>
        <v>2.0794415416798357</v>
      </c>
      <c r="E76" s="6">
        <f t="shared" si="2"/>
        <v>-5.7222222222222214</v>
      </c>
      <c r="F76" s="6">
        <f t="shared" si="3"/>
        <v>-49.455555555555577</v>
      </c>
      <c r="G76" s="6">
        <f>Таблица3[[#This Row],[Z]]-AVERAGE(Таблица3[Z])</f>
        <v>1.5111111111111111</v>
      </c>
      <c r="H76" s="6">
        <f>Таблица3[[#This Row],[ln(Z'')]]-AVERAGE(Таблица3[ln(Z'')])</f>
        <v>0.34803347333794132</v>
      </c>
    </row>
    <row r="77" spans="1:8" x14ac:dyDescent="0.25">
      <c r="A77">
        <v>27</v>
      </c>
      <c r="B77">
        <v>247</v>
      </c>
      <c r="C77">
        <v>-4</v>
      </c>
      <c r="D77" s="6">
        <f>LN(Таблица3[[#This Row],[Z]]+exponential!$R$3)</f>
        <v>2.0794415416798357</v>
      </c>
      <c r="E77" s="6">
        <f t="shared" si="2"/>
        <v>-8.7222222222222214</v>
      </c>
      <c r="F77" s="6">
        <f t="shared" si="3"/>
        <v>-79.455555555555577</v>
      </c>
      <c r="G77" s="6">
        <f>Таблица3[[#This Row],[Z]]-AVERAGE(Таблица3[Z])</f>
        <v>1.5111111111111111</v>
      </c>
      <c r="H77" s="6">
        <f>Таблица3[[#This Row],[ln(Z'')]]-AVERAGE(Таблица3[ln(Z'')])</f>
        <v>0.34803347333794132</v>
      </c>
    </row>
    <row r="78" spans="1:8" x14ac:dyDescent="0.25">
      <c r="A78" s="3">
        <v>18</v>
      </c>
      <c r="B78" s="3">
        <v>170</v>
      </c>
      <c r="C78">
        <v>-5</v>
      </c>
      <c r="D78" s="6">
        <f>LN(Таблица3[[#This Row],[Z]]+exponential!$R$3)</f>
        <v>1.9459101490553132</v>
      </c>
      <c r="E78" s="6">
        <f t="shared" si="2"/>
        <v>-17.722222222222221</v>
      </c>
      <c r="F78" s="6">
        <f t="shared" si="3"/>
        <v>-156.45555555555558</v>
      </c>
      <c r="G78" s="6">
        <f>Таблица3[[#This Row],[Z]]-AVERAGE(Таблица3[Z])</f>
        <v>0.51111111111111107</v>
      </c>
      <c r="H78" s="6">
        <f>Таблица3[[#This Row],[ln(Z'')]]-AVERAGE(Таблица3[ln(Z'')])</f>
        <v>0.21450208071341881</v>
      </c>
    </row>
    <row r="79" spans="1:8" x14ac:dyDescent="0.25">
      <c r="A79">
        <v>42</v>
      </c>
      <c r="B79">
        <v>380</v>
      </c>
      <c r="C79">
        <v>-7</v>
      </c>
      <c r="D79" s="6">
        <f>LN(Таблица3[[#This Row],[Z]]+exponential!$R$3)</f>
        <v>1.6094379124341003</v>
      </c>
      <c r="E79" s="6">
        <f t="shared" si="2"/>
        <v>6.2777777777777786</v>
      </c>
      <c r="F79" s="6">
        <f t="shared" si="3"/>
        <v>53.544444444444423</v>
      </c>
      <c r="G79" s="6">
        <f>Таблица3[[#This Row],[Z]]-AVERAGE(Таблица3[Z])</f>
        <v>-1.4888888888888889</v>
      </c>
      <c r="H79" s="6">
        <f>Таблица3[[#This Row],[ln(Z'')]]-AVERAGE(Таблица3[ln(Z'')])</f>
        <v>-0.12197015590779414</v>
      </c>
    </row>
    <row r="80" spans="1:8" x14ac:dyDescent="0.25">
      <c r="A80" s="3">
        <v>24</v>
      </c>
      <c r="B80" s="3">
        <v>221</v>
      </c>
      <c r="C80">
        <v>-8</v>
      </c>
      <c r="D80" s="6">
        <f>LN(Таблица3[[#This Row],[Z]]+exponential!$R$3)</f>
        <v>1.3862943611198906</v>
      </c>
      <c r="E80" s="6">
        <f t="shared" si="2"/>
        <v>-11.722222222222221</v>
      </c>
      <c r="F80" s="6">
        <f t="shared" si="3"/>
        <v>-105.45555555555558</v>
      </c>
      <c r="G80" s="6">
        <f>Таблица3[[#This Row],[Z]]-AVERAGE(Таблица3[Z])</f>
        <v>-2.4888888888888889</v>
      </c>
      <c r="H80" s="6">
        <f>Таблица3[[#This Row],[ln(Z'')]]-AVERAGE(Таблица3[ln(Z'')])</f>
        <v>-0.34511370722200385</v>
      </c>
    </row>
    <row r="81" spans="1:8" x14ac:dyDescent="0.25">
      <c r="A81">
        <v>31</v>
      </c>
      <c r="B81">
        <v>287</v>
      </c>
      <c r="C81">
        <v>-10</v>
      </c>
      <c r="D81" s="6">
        <f>LN(Таблица3[[#This Row],[Z]]+exponential!$R$3)</f>
        <v>0.69314718055994529</v>
      </c>
      <c r="E81" s="6">
        <f t="shared" si="2"/>
        <v>-4.7222222222222214</v>
      </c>
      <c r="F81" s="6">
        <f t="shared" si="3"/>
        <v>-39.455555555555577</v>
      </c>
      <c r="G81" s="6">
        <f>Таблица3[[#This Row],[Z]]-AVERAGE(Таблица3[Z])</f>
        <v>-4.4888888888888889</v>
      </c>
      <c r="H81" s="6">
        <f>Таблица3[[#This Row],[ln(Z'')]]-AVERAGE(Таблица3[ln(Z'')])</f>
        <v>-1.038260887781949</v>
      </c>
    </row>
    <row r="82" spans="1:8" x14ac:dyDescent="0.25">
      <c r="A82" s="3">
        <v>27</v>
      </c>
      <c r="B82" s="3">
        <v>244</v>
      </c>
      <c r="C82">
        <v>-5</v>
      </c>
      <c r="D82" s="6">
        <f>LN(Таблица3[[#This Row],[Z]]+exponential!$R$3)</f>
        <v>1.9459101490553132</v>
      </c>
      <c r="E82" s="6">
        <f t="shared" si="2"/>
        <v>-8.7222222222222214</v>
      </c>
      <c r="F82" s="6">
        <f t="shared" si="3"/>
        <v>-82.455555555555577</v>
      </c>
      <c r="G82" s="6">
        <f>Таблица3[[#This Row],[Z]]-AVERAGE(Таблица3[Z])</f>
        <v>0.51111111111111107</v>
      </c>
      <c r="H82" s="6">
        <f>Таблица3[[#This Row],[ln(Z'')]]-AVERAGE(Таблица3[ln(Z'')])</f>
        <v>0.21450208071341881</v>
      </c>
    </row>
    <row r="83" spans="1:8" x14ac:dyDescent="0.25">
      <c r="A83">
        <v>34</v>
      </c>
      <c r="B83">
        <v>313</v>
      </c>
      <c r="C83">
        <v>-6</v>
      </c>
      <c r="D83" s="6">
        <f>LN(Таблица3[[#This Row],[Z]]+exponential!$R$3)</f>
        <v>1.791759469228055</v>
      </c>
      <c r="E83" s="6">
        <f t="shared" si="2"/>
        <v>-1.7222222222222214</v>
      </c>
      <c r="F83" s="6">
        <f t="shared" si="3"/>
        <v>-13.455555555555577</v>
      </c>
      <c r="G83" s="6">
        <f>Таблица3[[#This Row],[Z]]-AVERAGE(Таблица3[Z])</f>
        <v>-0.48888888888888893</v>
      </c>
      <c r="H83" s="6">
        <f>Таблица3[[#This Row],[ln(Z'')]]-AVERAGE(Таблица3[ln(Z'')])</f>
        <v>6.0351400886160533E-2</v>
      </c>
    </row>
    <row r="84" spans="1:8" x14ac:dyDescent="0.25">
      <c r="A84" s="3">
        <v>24</v>
      </c>
      <c r="B84" s="3">
        <v>219</v>
      </c>
      <c r="C84">
        <v>-5</v>
      </c>
      <c r="D84" s="6">
        <f>LN(Таблица3[[#This Row],[Z]]+exponential!$R$3)</f>
        <v>1.9459101490553132</v>
      </c>
      <c r="E84" s="6">
        <f t="shared" si="2"/>
        <v>-11.722222222222221</v>
      </c>
      <c r="F84" s="6">
        <f t="shared" si="3"/>
        <v>-107.45555555555558</v>
      </c>
      <c r="G84" s="6">
        <f>Таблица3[[#This Row],[Z]]-AVERAGE(Таблица3[Z])</f>
        <v>0.51111111111111107</v>
      </c>
      <c r="H84" s="6">
        <f>Таблица3[[#This Row],[ln(Z'')]]-AVERAGE(Таблица3[ln(Z'')])</f>
        <v>0.21450208071341881</v>
      </c>
    </row>
    <row r="85" spans="1:8" x14ac:dyDescent="0.25">
      <c r="A85">
        <v>43</v>
      </c>
      <c r="B85">
        <v>392</v>
      </c>
      <c r="C85">
        <v>-5</v>
      </c>
      <c r="D85" s="6">
        <f>LN(Таблица3[[#This Row],[Z]]+exponential!$R$3)</f>
        <v>1.9459101490553132</v>
      </c>
      <c r="E85" s="6">
        <f t="shared" si="2"/>
        <v>7.2777777777777786</v>
      </c>
      <c r="F85" s="6">
        <f t="shared" si="3"/>
        <v>65.544444444444423</v>
      </c>
      <c r="G85" s="6">
        <f>Таблица3[[#This Row],[Z]]-AVERAGE(Таблица3[Z])</f>
        <v>0.51111111111111107</v>
      </c>
      <c r="H85" s="6">
        <f>Таблица3[[#This Row],[ln(Z'')]]-AVERAGE(Таблица3[ln(Z'')])</f>
        <v>0.21450208071341881</v>
      </c>
    </row>
    <row r="86" spans="1:8" x14ac:dyDescent="0.25">
      <c r="A86" s="3">
        <v>46</v>
      </c>
      <c r="B86" s="3">
        <v>415</v>
      </c>
      <c r="C86">
        <v>-4</v>
      </c>
      <c r="D86" s="6">
        <f>LN(Таблица3[[#This Row],[Z]]+exponential!$R$3)</f>
        <v>2.0794415416798357</v>
      </c>
      <c r="E86" s="6">
        <f t="shared" si="2"/>
        <v>10.277777777777779</v>
      </c>
      <c r="F86" s="6">
        <f t="shared" si="3"/>
        <v>88.544444444444423</v>
      </c>
      <c r="G86" s="6">
        <f>Таблица3[[#This Row],[Z]]-AVERAGE(Таблица3[Z])</f>
        <v>1.5111111111111111</v>
      </c>
      <c r="H86" s="6">
        <f>Таблица3[[#This Row],[ln(Z'')]]-AVERAGE(Таблица3[ln(Z'')])</f>
        <v>0.34803347333794132</v>
      </c>
    </row>
    <row r="87" spans="1:8" x14ac:dyDescent="0.25">
      <c r="A87">
        <v>37</v>
      </c>
      <c r="B87">
        <v>341</v>
      </c>
      <c r="C87">
        <v>-8</v>
      </c>
      <c r="D87" s="6">
        <f>LN(Таблица3[[#This Row],[Z]]+exponential!$R$3)</f>
        <v>1.3862943611198906</v>
      </c>
      <c r="E87" s="6">
        <f t="shared" si="2"/>
        <v>1.2777777777777786</v>
      </c>
      <c r="F87" s="6">
        <f t="shared" si="3"/>
        <v>14.544444444444423</v>
      </c>
      <c r="G87" s="6">
        <f>Таблица3[[#This Row],[Z]]-AVERAGE(Таблица3[Z])</f>
        <v>-2.4888888888888889</v>
      </c>
      <c r="H87" s="6">
        <f>Таблица3[[#This Row],[ln(Z'')]]-AVERAGE(Таблица3[ln(Z'')])</f>
        <v>-0.34511370722200385</v>
      </c>
    </row>
    <row r="88" spans="1:8" x14ac:dyDescent="0.25">
      <c r="A88" s="3">
        <v>35</v>
      </c>
      <c r="B88" s="3">
        <v>321</v>
      </c>
      <c r="C88">
        <v>-6</v>
      </c>
      <c r="D88" s="6">
        <f>LN(Таблица3[[#This Row],[Z]]+exponential!$R$3)</f>
        <v>1.791759469228055</v>
      </c>
      <c r="E88" s="6">
        <f t="shared" si="2"/>
        <v>-0.72222222222222143</v>
      </c>
      <c r="F88" s="6">
        <f t="shared" si="3"/>
        <v>-5.455555555555577</v>
      </c>
      <c r="G88" s="6">
        <f>Таблица3[[#This Row],[Z]]-AVERAGE(Таблица3[Z])</f>
        <v>-0.48888888888888893</v>
      </c>
      <c r="H88" s="6">
        <f>Таблица3[[#This Row],[ln(Z'')]]-AVERAGE(Таблица3[ln(Z'')])</f>
        <v>6.0351400886160533E-2</v>
      </c>
    </row>
    <row r="89" spans="1:8" x14ac:dyDescent="0.25">
      <c r="A89">
        <v>28</v>
      </c>
      <c r="B89">
        <v>255</v>
      </c>
      <c r="C89">
        <v>-7</v>
      </c>
      <c r="D89" s="6">
        <f>LN(Таблица3[[#This Row],[Z]]+exponential!$R$3)</f>
        <v>1.6094379124341003</v>
      </c>
      <c r="E89" s="6">
        <f t="shared" si="2"/>
        <v>-7.7222222222222214</v>
      </c>
      <c r="F89" s="6">
        <f t="shared" si="3"/>
        <v>-71.455555555555577</v>
      </c>
      <c r="G89" s="6">
        <f>Таблица3[[#This Row],[Z]]-AVERAGE(Таблица3[Z])</f>
        <v>-1.4888888888888889</v>
      </c>
      <c r="H89" s="6">
        <f>Таблица3[[#This Row],[ln(Z'')]]-AVERAGE(Таблица3[ln(Z'')])</f>
        <v>-0.12197015590779414</v>
      </c>
    </row>
    <row r="90" spans="1:8" x14ac:dyDescent="0.25">
      <c r="A90" s="3">
        <v>22</v>
      </c>
      <c r="B90" s="3">
        <v>206</v>
      </c>
      <c r="C90">
        <v>-1</v>
      </c>
      <c r="D90" s="6">
        <f>LN(Таблица3[[#This Row],[Z]]+exponential!$R$3)</f>
        <v>2.3978952727983707</v>
      </c>
      <c r="E90" s="6">
        <f t="shared" si="2"/>
        <v>-13.722222222222221</v>
      </c>
      <c r="F90" s="6">
        <f t="shared" si="3"/>
        <v>-120.45555555555558</v>
      </c>
      <c r="G90" s="6">
        <f>Таблица3[[#This Row],[Z]]-AVERAGE(Таблица3[Z])</f>
        <v>4.5111111111111111</v>
      </c>
      <c r="H90" s="6">
        <f>Таблица3[[#This Row],[ln(Z'')]]-AVERAGE(Таблица3[ln(Z'')])</f>
        <v>0.66648720445647625</v>
      </c>
    </row>
    <row r="91" spans="1:8" x14ac:dyDescent="0.25">
      <c r="A91">
        <v>35</v>
      </c>
      <c r="B91">
        <v>324</v>
      </c>
      <c r="C91">
        <v>-10</v>
      </c>
      <c r="D91" s="6">
        <f>LN(Таблица3[[#This Row],[Z]]+exponential!$R$3)</f>
        <v>0.69314718055994529</v>
      </c>
      <c r="E91" s="6">
        <f t="shared" si="2"/>
        <v>-0.72222222222222143</v>
      </c>
      <c r="F91" s="6">
        <f t="shared" si="3"/>
        <v>-2.455555555555577</v>
      </c>
      <c r="G91" s="6">
        <f>Таблица3[[#This Row],[Z]]-AVERAGE(Таблица3[Z])</f>
        <v>-4.4888888888888889</v>
      </c>
      <c r="H91" s="6">
        <f>Таблица3[[#This Row],[ln(Z'')]]-AVERAGE(Таблица3[ln(Z'')])</f>
        <v>-1.038260887781949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4B14-3F50-404E-8696-F4F54B403D3B}">
  <dimension ref="A1:R93"/>
  <sheetViews>
    <sheetView tabSelected="1" topLeftCell="J1" workbookViewId="0">
      <selection activeCell="U11" sqref="U11"/>
    </sheetView>
  </sheetViews>
  <sheetFormatPr defaultRowHeight="15" x14ac:dyDescent="0.25"/>
  <cols>
    <col min="5" max="5" width="15.85546875" bestFit="1" customWidth="1"/>
    <col min="7" max="7" width="9.28515625" customWidth="1"/>
    <col min="8" max="8" width="12.5703125" customWidth="1"/>
    <col min="9" max="9" width="14.5703125" customWidth="1"/>
    <col min="10" max="10" width="14.42578125" customWidth="1"/>
    <col min="11" max="11" width="27.140625" bestFit="1" customWidth="1"/>
    <col min="12" max="12" width="32.5703125" bestFit="1" customWidth="1"/>
    <col min="13" max="13" width="28.7109375" bestFit="1" customWidth="1"/>
    <col min="14" max="14" width="32.140625" bestFit="1" customWidth="1"/>
    <col min="16" max="16" width="26.5703125" bestFit="1" customWidth="1"/>
    <col min="17" max="17" width="21" customWidth="1"/>
  </cols>
  <sheetData>
    <row r="1" spans="1:18" x14ac:dyDescent="0.25">
      <c r="A1" t="s">
        <v>10</v>
      </c>
      <c r="B1" t="s">
        <v>0</v>
      </c>
      <c r="C1" t="s">
        <v>2</v>
      </c>
      <c r="D1" t="s">
        <v>1</v>
      </c>
      <c r="E1" t="s">
        <v>98</v>
      </c>
      <c r="F1" t="s">
        <v>65</v>
      </c>
      <c r="G1" t="s">
        <v>66</v>
      </c>
      <c r="H1" t="s">
        <v>100</v>
      </c>
      <c r="I1" t="s">
        <v>67</v>
      </c>
      <c r="J1" t="s">
        <v>99</v>
      </c>
      <c r="K1" t="s">
        <v>101</v>
      </c>
      <c r="L1" t="s">
        <v>106</v>
      </c>
      <c r="M1" t="s">
        <v>105</v>
      </c>
      <c r="N1" t="s">
        <v>110</v>
      </c>
      <c r="O1" t="s">
        <v>21</v>
      </c>
      <c r="P1" t="s">
        <v>23</v>
      </c>
      <c r="Q1" t="s">
        <v>102</v>
      </c>
    </row>
    <row r="2" spans="1:18" x14ac:dyDescent="0.25">
      <c r="A2">
        <v>1</v>
      </c>
      <c r="B2" s="3">
        <v>25</v>
      </c>
      <c r="C2" s="3">
        <v>233</v>
      </c>
      <c r="D2" s="3">
        <v>-7</v>
      </c>
      <c r="E2" s="3">
        <f>Таблица4[[#This Row],[Z]]+$R$3</f>
        <v>5</v>
      </c>
      <c r="F2" s="6">
        <f>LN(ABS(B2))</f>
        <v>3.2188758248682006</v>
      </c>
      <c r="G2" s="6">
        <f>LN(ABS(C2))</f>
        <v>5.4510384535657002</v>
      </c>
      <c r="H2" s="6">
        <f t="shared" ref="H2:H33" si="0">LN(ABS(E2))</f>
        <v>1.6094379124341003</v>
      </c>
      <c r="I2" s="6">
        <f>F2*G2</f>
        <v>17.546215898609574</v>
      </c>
      <c r="J2" s="6">
        <f>F2*H2</f>
        <v>5.1805807879604693</v>
      </c>
      <c r="K2" s="6">
        <f>G2*H2</f>
        <v>8.7731079493047872</v>
      </c>
      <c r="L2" s="6">
        <f>$R$10+$R$11*Таблица4[[#This Row],[ln(X)]]+$R$12*Таблица4[[#This Row],[ln(Y)]]</f>
        <v>1.6804505883722811</v>
      </c>
      <c r="M2" s="6">
        <f>EXP($R$10)*Таблица4[[#This Row],[X]]^$R$11*Таблица4[[#This Row],[Y]]^$R$12-$R$3</f>
        <v>-6.6320258269807004</v>
      </c>
      <c r="N2" s="6">
        <f>ABS((Таблица4[[#This Row],[Предсказанные значения Z]]-Таблица4[[#This Row],[Z]])/Таблица4[[#This Row],[Z]])</f>
        <v>5.2567739002757082E-2</v>
      </c>
      <c r="O2" s="6">
        <f>ABS(Таблица4[[#This Row],[ln(|Z''|)]]-Таблица4[[#This Row],[Предсказанные значения ln(Z'')]])</f>
        <v>7.1012675938180836E-2</v>
      </c>
      <c r="P2" s="6">
        <f>ABS(Таблица4[[#This Row],[Остатки]]/Таблица4[[#This Row],[ln(|Z''|)]])</f>
        <v>4.4122656356952512E-2</v>
      </c>
    </row>
    <row r="3" spans="1:18" x14ac:dyDescent="0.25">
      <c r="A3">
        <v>2</v>
      </c>
      <c r="B3">
        <v>47</v>
      </c>
      <c r="C3">
        <v>432</v>
      </c>
      <c r="D3">
        <v>-6</v>
      </c>
      <c r="E3">
        <f>Таблица4[[#This Row],[Z]]+$R$3</f>
        <v>6</v>
      </c>
      <c r="F3" s="6">
        <f>LN(ABS(B3))</f>
        <v>3.8501476017100584</v>
      </c>
      <c r="G3" s="6">
        <f>LN(ABS(C3))</f>
        <v>6.0684255882441107</v>
      </c>
      <c r="H3" s="6">
        <f t="shared" si="0"/>
        <v>1.791759469228055</v>
      </c>
      <c r="I3" s="6">
        <f t="shared" ref="I3:I66" si="1">F3*G3</f>
        <v>23.364334224734012</v>
      </c>
      <c r="J3" s="6">
        <f t="shared" ref="J3:J66" si="2">F3*H3</f>
        <v>6.8985384232896827</v>
      </c>
      <c r="K3" s="6">
        <f t="shared" ref="K3:K66" si="3">G3*H3</f>
        <v>10.873159011042215</v>
      </c>
      <c r="L3" s="6">
        <f>$R$10+$R$11*Таблица4[[#This Row],[ln(X)]]+$R$12*Таблица4[[#This Row],[ln(Y)]]</f>
        <v>1.6072416069984499</v>
      </c>
      <c r="M3" s="6">
        <f>EXP($R$10)*Таблица4[[#This Row],[X]]^$R$11*Таблица4[[#This Row],[Y]]^$R$12-$R$3</f>
        <v>-7.0109694766082118</v>
      </c>
      <c r="N3" s="6">
        <f>ABS((Таблица4[[#This Row],[Предсказанные значения Z]]-Таблица4[[#This Row],[Z]])/Таблица4[[#This Row],[Z]])</f>
        <v>0.1684949127680353</v>
      </c>
      <c r="O3" s="6">
        <f>ABS(Таблица4[[#This Row],[ln(|Z''|)]]-Таблица4[[#This Row],[Предсказанные значения ln(Z'')]])</f>
        <v>0.18451786222960509</v>
      </c>
      <c r="P3" s="6">
        <f>ABS(Таблица4[[#This Row],[Остатки]]/Таблица4[[#This Row],[ln(|Z''|)]])</f>
        <v>0.10298137969886162</v>
      </c>
      <c r="Q3" s="4" t="s">
        <v>103</v>
      </c>
      <c r="R3" s="4">
        <f>-MIN(Таблица4[Z])+2</f>
        <v>12</v>
      </c>
    </row>
    <row r="4" spans="1:18" x14ac:dyDescent="0.25">
      <c r="A4">
        <v>3</v>
      </c>
      <c r="B4" s="3">
        <v>42</v>
      </c>
      <c r="C4" s="3">
        <v>385</v>
      </c>
      <c r="D4" s="3">
        <v>-10</v>
      </c>
      <c r="E4" s="3">
        <f>Таблица4[[#This Row],[Z]]+$R$3</f>
        <v>2</v>
      </c>
      <c r="F4" s="6">
        <f>LN(ABS(B4))</f>
        <v>3.7376696182833684</v>
      </c>
      <c r="G4" s="6">
        <f>LN(ABS(C4))</f>
        <v>5.9532433342877846</v>
      </c>
      <c r="H4" s="6">
        <f t="shared" si="0"/>
        <v>0.69314718055994529</v>
      </c>
      <c r="I4" s="6">
        <f t="shared" si="1"/>
        <v>22.251256740815432</v>
      </c>
      <c r="J4" s="6">
        <f t="shared" si="2"/>
        <v>2.5907551577776839</v>
      </c>
      <c r="K4" s="6">
        <f t="shared" si="3"/>
        <v>4.1264738323488661</v>
      </c>
      <c r="L4" s="6">
        <f>$R$10+$R$11*Таблица4[[#This Row],[ln(X)]]+$R$12*Таблица4[[#This Row],[ln(Y)]]</f>
        <v>1.6600801512953041</v>
      </c>
      <c r="M4" s="6">
        <f>EXP($R$10)*Таблица4[[#This Row],[X]]^$R$11*Таблица4[[#This Row],[Y]]^$R$12-$R$3</f>
        <v>-6.7402675980825499</v>
      </c>
      <c r="N4" s="6">
        <f>ABS((Таблица4[[#This Row],[Предсказанные значения Z]]-Таблица4[[#This Row],[Z]])/Таблица4[[#This Row],[Z]])</f>
        <v>0.32597324019174501</v>
      </c>
      <c r="O4" s="6">
        <f>ABS(Таблица4[[#This Row],[ln(|Z''|)]]-Таблица4[[#This Row],[Предсказанные значения ln(Z'')]])</f>
        <v>0.96693297073535878</v>
      </c>
      <c r="P4" s="6">
        <f>ABS(Таблица4[[#This Row],[Остатки]]/Таблица4[[#This Row],[ln(|Z''|)]])</f>
        <v>1.3949894017519353</v>
      </c>
      <c r="Q4" t="s">
        <v>70</v>
      </c>
    </row>
    <row r="5" spans="1:18" x14ac:dyDescent="0.25">
      <c r="A5">
        <v>4</v>
      </c>
      <c r="B5">
        <v>38</v>
      </c>
      <c r="C5">
        <v>347</v>
      </c>
      <c r="D5">
        <v>-1</v>
      </c>
      <c r="E5">
        <f>Таблица4[[#This Row],[Z]]+$R$3</f>
        <v>11</v>
      </c>
      <c r="F5" s="6">
        <f>LN(ABS(B5))</f>
        <v>3.6375861597263857</v>
      </c>
      <c r="G5" s="6">
        <f>LN(ABS(C5))</f>
        <v>5.8493247799468593</v>
      </c>
      <c r="H5" s="6">
        <f t="shared" si="0"/>
        <v>2.3978952727983707</v>
      </c>
      <c r="I5" s="6">
        <f t="shared" si="1"/>
        <v>21.277422863279281</v>
      </c>
      <c r="J5" s="6">
        <f t="shared" si="2"/>
        <v>8.7225506568046782</v>
      </c>
      <c r="K5" s="6">
        <f t="shared" si="3"/>
        <v>14.026068238896944</v>
      </c>
      <c r="L5" s="6">
        <f>$R$10+$R$11*Таблица4[[#This Row],[ln(X)]]+$R$12*Таблица4[[#This Row],[ln(Y)]]</f>
        <v>1.7180766480836454</v>
      </c>
      <c r="M5" s="6">
        <f>EXP($R$10)*Таблица4[[#This Row],[X]]^$R$11*Таблица4[[#This Row],[Y]]^$R$12-$R$3</f>
        <v>-6.4262022264923342</v>
      </c>
      <c r="N5" s="6">
        <f>ABS((Таблица4[[#This Row],[Предсказанные значения Z]]-Таблица4[[#This Row],[Z]])/Таблица4[[#This Row],[Z]])</f>
        <v>5.4262022264923342</v>
      </c>
      <c r="O5" s="6">
        <f>ABS(Таблица4[[#This Row],[ln(|Z''|)]]-Таблица4[[#This Row],[Предсказанные значения ln(Z'')]])</f>
        <v>0.67981862471472532</v>
      </c>
      <c r="P5" s="6">
        <f>ABS(Таблица4[[#This Row],[Остатки]]/Таблица4[[#This Row],[ln(|Z''|)]])</f>
        <v>0.28350638679952411</v>
      </c>
    </row>
    <row r="6" spans="1:18" x14ac:dyDescent="0.25">
      <c r="A6">
        <v>5</v>
      </c>
      <c r="B6" s="3">
        <v>30</v>
      </c>
      <c r="C6" s="3">
        <v>274</v>
      </c>
      <c r="D6" s="3">
        <v>-2</v>
      </c>
      <c r="E6" s="3">
        <f>Таблица4[[#This Row],[Z]]+$R$3</f>
        <v>10</v>
      </c>
      <c r="F6" s="6">
        <f>LN(ABS(B6))</f>
        <v>3.4011973816621555</v>
      </c>
      <c r="G6" s="6">
        <f>LN(ABS(C6))</f>
        <v>5.6131281063880705</v>
      </c>
      <c r="H6" s="6">
        <f t="shared" si="0"/>
        <v>2.3025850929940459</v>
      </c>
      <c r="I6" s="6">
        <f t="shared" si="1"/>
        <v>19.091356618381358</v>
      </c>
      <c r="J6" s="6">
        <f t="shared" si="2"/>
        <v>7.8315463893456601</v>
      </c>
      <c r="K6" s="6">
        <f t="shared" si="3"/>
        <v>12.924705102835068</v>
      </c>
      <c r="L6" s="6">
        <f>$R$10+$R$11*Таблица4[[#This Row],[ln(X)]]+$R$12*Таблица4[[#This Row],[ln(Y)]]</f>
        <v>1.7839711267076268</v>
      </c>
      <c r="M6" s="6">
        <f>EXP($R$10)*Таблица4[[#This Row],[X]]^$R$11*Таблица4[[#This Row],[Y]]^$R$12-$R$3</f>
        <v>-6.046548551793931</v>
      </c>
      <c r="N6" s="6">
        <f>ABS((Таблица4[[#This Row],[Предсказанные значения Z]]-Таблица4[[#This Row],[Z]])/Таблица4[[#This Row],[Z]])</f>
        <v>2.0232742758969655</v>
      </c>
      <c r="O6" s="6">
        <f>ABS(Таблица4[[#This Row],[ln(|Z''|)]]-Таблица4[[#This Row],[Предсказанные значения ln(Z'')]])</f>
        <v>0.51861396628641909</v>
      </c>
      <c r="P6" s="6">
        <f>ABS(Таблица4[[#This Row],[Остатки]]/Таблица4[[#This Row],[ln(|Z''|)]])</f>
        <v>0.22523118379615087</v>
      </c>
    </row>
    <row r="7" spans="1:18" x14ac:dyDescent="0.25">
      <c r="A7">
        <v>6</v>
      </c>
      <c r="B7">
        <v>30</v>
      </c>
      <c r="C7">
        <v>276</v>
      </c>
      <c r="D7">
        <v>-6</v>
      </c>
      <c r="E7">
        <f>Таблица4[[#This Row],[Z]]+$R$3</f>
        <v>6</v>
      </c>
      <c r="F7" s="6">
        <f>LN(ABS(B7))</f>
        <v>3.4011973816621555</v>
      </c>
      <c r="G7" s="6">
        <f>LN(ABS(C7))</f>
        <v>5.6204008657171496</v>
      </c>
      <c r="H7" s="6">
        <f t="shared" si="0"/>
        <v>1.791759469228055</v>
      </c>
      <c r="I7" s="6">
        <f t="shared" si="1"/>
        <v>19.116092708368882</v>
      </c>
      <c r="J7" s="6">
        <f t="shared" si="2"/>
        <v>6.0941276153068342</v>
      </c>
      <c r="K7" s="6">
        <f t="shared" si="3"/>
        <v>10.07040647200626</v>
      </c>
      <c r="L7" s="6">
        <f>$R$10+$R$11*Таблица4[[#This Row],[ln(X)]]+$R$12*Таблица4[[#This Row],[ln(Y)]]</f>
        <v>1.7280799712636536</v>
      </c>
      <c r="M7" s="6">
        <f>EXP($R$10)*Таблица4[[#This Row],[X]]^$R$11*Таблица4[[#This Row],[Y]]^$R$12-$R$3</f>
        <v>-6.3701659186542159</v>
      </c>
      <c r="N7" s="6">
        <f>ABS((Таблица4[[#This Row],[Предсказанные значения Z]]-Таблица4[[#This Row],[Z]])/Таблица4[[#This Row],[Z]])</f>
        <v>6.1694319775702645E-2</v>
      </c>
      <c r="O7" s="6">
        <f>ABS(Таблица4[[#This Row],[ln(|Z''|)]]-Таблица4[[#This Row],[Предсказанные значения ln(Z'')]])</f>
        <v>6.367949796440131E-2</v>
      </c>
      <c r="P7" s="6">
        <f>ABS(Таблица4[[#This Row],[Остатки]]/Таблица4[[#This Row],[ln(|Z''|)]])</f>
        <v>3.5540204507380893E-2</v>
      </c>
    </row>
    <row r="8" spans="1:18" x14ac:dyDescent="0.25">
      <c r="A8">
        <v>7</v>
      </c>
      <c r="B8" s="3">
        <v>32</v>
      </c>
      <c r="C8" s="3">
        <v>294</v>
      </c>
      <c r="D8" s="3">
        <v>-6</v>
      </c>
      <c r="E8" s="3">
        <f>Таблица4[[#This Row],[Z]]+$R$3</f>
        <v>6</v>
      </c>
      <c r="F8" s="6">
        <f>LN(ABS(B8))</f>
        <v>3.4657359027997265</v>
      </c>
      <c r="G8" s="6">
        <f>LN(ABS(C8))</f>
        <v>5.6835797673386814</v>
      </c>
      <c r="H8" s="6">
        <f t="shared" si="0"/>
        <v>1.791759469228055</v>
      </c>
      <c r="I8" s="6">
        <f t="shared" si="1"/>
        <v>19.697786456091784</v>
      </c>
      <c r="J8" s="6">
        <f t="shared" si="2"/>
        <v>6.2097651216850522</v>
      </c>
      <c r="K8" s="6">
        <f t="shared" si="3"/>
        <v>10.183607867242069</v>
      </c>
      <c r="L8" s="6">
        <f>$R$10+$R$11*Таблица4[[#This Row],[ln(X)]]+$R$12*Таблица4[[#This Row],[ln(Y)]]</f>
        <v>1.720135168720212</v>
      </c>
      <c r="M8" s="6">
        <f>EXP($R$10)*Таблица4[[#This Row],[X]]^$R$11*Таблица4[[#This Row],[Y]]^$R$12-$R$3</f>
        <v>-6.4147166311398482</v>
      </c>
      <c r="N8" s="6">
        <f>ABS((Таблица4[[#This Row],[Предсказанные значения Z]]-Таблица4[[#This Row],[Z]])/Таблица4[[#This Row],[Z]])</f>
        <v>6.9119438523308041E-2</v>
      </c>
      <c r="O8" s="6">
        <f>ABS(Таблица4[[#This Row],[ln(|Z''|)]]-Таблица4[[#This Row],[Предсказанные значения ln(Z'')]])</f>
        <v>7.1624300507842964E-2</v>
      </c>
      <c r="P8" s="6">
        <f>ABS(Таблица4[[#This Row],[Остатки]]/Таблица4[[#This Row],[ln(|Z''|)]])</f>
        <v>3.9974283232727052E-2</v>
      </c>
    </row>
    <row r="9" spans="1:18" x14ac:dyDescent="0.25">
      <c r="A9">
        <v>8</v>
      </c>
      <c r="B9">
        <v>38</v>
      </c>
      <c r="C9">
        <v>348</v>
      </c>
      <c r="D9">
        <v>-5</v>
      </c>
      <c r="E9">
        <f>Таблица4[[#This Row],[Z]]+$R$3</f>
        <v>7</v>
      </c>
      <c r="F9" s="6">
        <f>LN(ABS(B9))</f>
        <v>3.6375861597263857</v>
      </c>
      <c r="G9" s="6">
        <f>LN(ABS(C9))</f>
        <v>5.8522024797744745</v>
      </c>
      <c r="H9" s="6">
        <f t="shared" si="0"/>
        <v>1.9459101490553132</v>
      </c>
      <c r="I9" s="6">
        <f t="shared" si="1"/>
        <v>21.287890744344061</v>
      </c>
      <c r="J9" s="6">
        <f t="shared" si="2"/>
        <v>7.0784158262747159</v>
      </c>
      <c r="K9" s="6">
        <f t="shared" si="3"/>
        <v>11.387860199719821</v>
      </c>
      <c r="L9" s="6">
        <f>$R$10+$R$11*Таблица4[[#This Row],[ln(X)]]+$R$12*Таблица4[[#This Row],[ln(Y)]]</f>
        <v>1.6959615249084194</v>
      </c>
      <c r="M9" s="6">
        <f>EXP($R$10)*Таблица4[[#This Row],[X]]^$R$11*Таблица4[[#This Row],[Y]]^$R$12-$R$3</f>
        <v>-6.5481144304229364</v>
      </c>
      <c r="N9" s="6">
        <f>ABS((Таблица4[[#This Row],[Предсказанные значения Z]]-Таблица4[[#This Row],[Z]])/Таблица4[[#This Row],[Z]])</f>
        <v>0.30962288608458727</v>
      </c>
      <c r="O9" s="6">
        <f>ABS(Таблица4[[#This Row],[ln(|Z''|)]]-Таблица4[[#This Row],[Предсказанные значения ln(Z'')]])</f>
        <v>0.24994862414689378</v>
      </c>
      <c r="P9" s="6">
        <f>ABS(Таблица4[[#This Row],[Остатки]]/Таблица4[[#This Row],[ln(|Z''|)]])</f>
        <v>0.12844818362668856</v>
      </c>
      <c r="Q9" s="4" t="s">
        <v>13</v>
      </c>
      <c r="R9" s="4" t="s">
        <v>14</v>
      </c>
    </row>
    <row r="10" spans="1:18" x14ac:dyDescent="0.25">
      <c r="A10">
        <v>9</v>
      </c>
      <c r="B10" s="3">
        <v>34</v>
      </c>
      <c r="C10" s="3">
        <v>315</v>
      </c>
      <c r="D10" s="3">
        <v>-10</v>
      </c>
      <c r="E10" s="3">
        <f>Таблица4[[#This Row],[Z]]+$R$3</f>
        <v>2</v>
      </c>
      <c r="F10" s="6">
        <f>LN(ABS(B10))</f>
        <v>3.5263605246161616</v>
      </c>
      <c r="G10" s="6">
        <f>LN(ABS(C10))</f>
        <v>5.7525726388256331</v>
      </c>
      <c r="H10" s="6">
        <f t="shared" si="0"/>
        <v>0.69314718055994529</v>
      </c>
      <c r="I10" s="6">
        <f t="shared" si="1"/>
        <v>20.285645068541736</v>
      </c>
      <c r="J10" s="6">
        <f t="shared" si="2"/>
        <v>2.4442868552755819</v>
      </c>
      <c r="K10" s="6">
        <f t="shared" si="3"/>
        <v>3.9873795055682719</v>
      </c>
      <c r="L10" s="6">
        <f>$R$10+$R$11*Таблица4[[#This Row],[ln(X)]]+$R$12*Таблица4[[#This Row],[ln(Y)]]</f>
        <v>1.6385471527846036</v>
      </c>
      <c r="M10" s="6">
        <f>EXP($R$10)*Таблица4[[#This Row],[X]]^$R$11*Таблица4[[#This Row],[Y]]^$R$12-$R$3</f>
        <v>-6.852314723394147</v>
      </c>
      <c r="N10" s="6">
        <f>ABS((Таблица4[[#This Row],[Предсказанные значения Z]]-Таблица4[[#This Row],[Z]])/Таблица4[[#This Row],[Z]])</f>
        <v>0.31476852766058527</v>
      </c>
      <c r="O10" s="6">
        <f>ABS(Таблица4[[#This Row],[ln(|Z''|)]]-Таблица4[[#This Row],[Предсказанные значения ln(Z'')]])</f>
        <v>0.94539997222465832</v>
      </c>
      <c r="P10" s="6">
        <f>ABS(Таблица4[[#This Row],[Остатки]]/Таблица4[[#This Row],[ln(|Z''|)]])</f>
        <v>1.3639238515850785</v>
      </c>
      <c r="Q10" s="4" t="s">
        <v>72</v>
      </c>
      <c r="R10" s="10">
        <v>19.751999999999999</v>
      </c>
    </row>
    <row r="11" spans="1:18" x14ac:dyDescent="0.25">
      <c r="A11">
        <v>10</v>
      </c>
      <c r="B11">
        <v>34</v>
      </c>
      <c r="C11">
        <v>307</v>
      </c>
      <c r="D11">
        <v>-4</v>
      </c>
      <c r="E11">
        <f>Таблица4[[#This Row],[Z]]+$R$3</f>
        <v>8</v>
      </c>
      <c r="F11" s="6">
        <f>LN(ABS(B11))</f>
        <v>3.5263605246161616</v>
      </c>
      <c r="G11" s="6">
        <f>LN(ABS(C11))</f>
        <v>5.7268477475871968</v>
      </c>
      <c r="H11" s="6">
        <f t="shared" si="0"/>
        <v>2.0794415416798357</v>
      </c>
      <c r="I11" s="6">
        <f t="shared" si="1"/>
        <v>20.19492982757847</v>
      </c>
      <c r="J11" s="6">
        <f t="shared" si="2"/>
        <v>7.3328605658267456</v>
      </c>
      <c r="K11" s="6">
        <f t="shared" si="3"/>
        <v>11.908645109208415</v>
      </c>
      <c r="L11" s="6">
        <f>$R$10+$R$11*Таблица4[[#This Row],[ln(X)]]+$R$12*Таблица4[[#This Row],[ln(Y)]]</f>
        <v>1.836242941951987</v>
      </c>
      <c r="M11" s="6">
        <f>EXP($R$10)*Таблица4[[#This Row],[X]]^$R$11*Таблица4[[#This Row],[Y]]^$R$12-$R$3</f>
        <v>-5.7270738149767908</v>
      </c>
      <c r="N11" s="6">
        <f>ABS((Таблица4[[#This Row],[Предсказанные значения Z]]-Таблица4[[#This Row],[Z]])/Таблица4[[#This Row],[Z]])</f>
        <v>0.4317684537441977</v>
      </c>
      <c r="O11" s="6">
        <f>ABS(Таблица4[[#This Row],[ln(|Z''|)]]-Таблица4[[#This Row],[Предсказанные значения ln(Z'')]])</f>
        <v>0.24319859972784874</v>
      </c>
      <c r="P11" s="6">
        <f>ABS(Таблица4[[#This Row],[Остатки]]/Таблица4[[#This Row],[ln(|Z''|)]])</f>
        <v>0.1169538045928358</v>
      </c>
      <c r="Q11" s="4" t="s">
        <v>8</v>
      </c>
      <c r="R11" s="10">
        <v>7.4</v>
      </c>
    </row>
    <row r="12" spans="1:18" x14ac:dyDescent="0.25">
      <c r="A12">
        <v>11</v>
      </c>
      <c r="B12" s="3">
        <v>41</v>
      </c>
      <c r="C12" s="3">
        <v>377</v>
      </c>
      <c r="D12" s="3">
        <v>-9</v>
      </c>
      <c r="E12" s="3">
        <f>Таблица4[[#This Row],[Z]]+$R$3</f>
        <v>3</v>
      </c>
      <c r="F12" s="6">
        <f>LN(ABS(B12))</f>
        <v>3.713572066704308</v>
      </c>
      <c r="G12" s="6">
        <f>LN(ABS(C12))</f>
        <v>5.9322451874480109</v>
      </c>
      <c r="H12" s="6">
        <f t="shared" si="0"/>
        <v>1.0986122886681098</v>
      </c>
      <c r="I12" s="6">
        <f t="shared" si="1"/>
        <v>22.029820020947994</v>
      </c>
      <c r="J12" s="6">
        <f t="shared" si="2"/>
        <v>4.0797759073359821</v>
      </c>
      <c r="K12" s="6">
        <f t="shared" si="3"/>
        <v>6.5172374623226395</v>
      </c>
      <c r="L12" s="6">
        <f>$R$10+$R$11*Таблица4[[#This Row],[ln(X)]]+$R$12*Таблица4[[#This Row],[ln(Y)]]</f>
        <v>1.6431290280739148</v>
      </c>
      <c r="M12" s="6">
        <f>EXP($R$10)*Таблица4[[#This Row],[X]]^$R$11*Таблица4[[#This Row],[Y]]^$R$12-$R$3</f>
        <v>-6.8286745546332099</v>
      </c>
      <c r="N12" s="6">
        <f>ABS((Таблица4[[#This Row],[Предсказанные значения Z]]-Таблица4[[#This Row],[Z]])/Таблица4[[#This Row],[Z]])</f>
        <v>0.24125838281853224</v>
      </c>
      <c r="O12" s="6">
        <f>ABS(Таблица4[[#This Row],[ln(|Z''|)]]-Таблица4[[#This Row],[Предсказанные значения ln(Z'')]])</f>
        <v>0.54451673940580503</v>
      </c>
      <c r="P12" s="6">
        <f>ABS(Таблица4[[#This Row],[Остатки]]/Таблица4[[#This Row],[ln(|Z''|)]])</f>
        <v>0.49564049576210706</v>
      </c>
      <c r="Q12" s="4" t="s">
        <v>71</v>
      </c>
      <c r="R12" s="10">
        <v>-7.6849999999999996</v>
      </c>
    </row>
    <row r="13" spans="1:18" x14ac:dyDescent="0.25">
      <c r="A13">
        <v>12</v>
      </c>
      <c r="B13">
        <v>37</v>
      </c>
      <c r="C13">
        <v>338</v>
      </c>
      <c r="D13">
        <v>-5</v>
      </c>
      <c r="E13">
        <f>Таблица4[[#This Row],[Z]]+$R$3</f>
        <v>7</v>
      </c>
      <c r="F13" s="6">
        <f>LN(ABS(B13))</f>
        <v>3.6109179126442243</v>
      </c>
      <c r="G13" s="6">
        <f>LN(ABS(C13))</f>
        <v>5.8230458954830189</v>
      </c>
      <c r="H13" s="6">
        <f t="shared" si="0"/>
        <v>1.9459101490553132</v>
      </c>
      <c r="I13" s="6">
        <f t="shared" si="1"/>
        <v>21.026540730149062</v>
      </c>
      <c r="J13" s="6">
        <f t="shared" si="2"/>
        <v>7.0265218136200227</v>
      </c>
      <c r="K13" s="6">
        <f t="shared" si="3"/>
        <v>11.331124106435292</v>
      </c>
      <c r="L13" s="6">
        <f>$R$10+$R$11*Таблица4[[#This Row],[ln(X)]]+$R$12*Таблица4[[#This Row],[ln(Y)]]</f>
        <v>1.7226848467802611</v>
      </c>
      <c r="M13" s="6">
        <f>EXP($R$10)*Таблица4[[#This Row],[X]]^$R$11*Таблица4[[#This Row],[Y]]^$R$12-$R$3</f>
        <v>-6.4004577866682126</v>
      </c>
      <c r="N13" s="6">
        <f>ABS((Таблица4[[#This Row],[Предсказанные значения Z]]-Таблица4[[#This Row],[Z]])/Таблица4[[#This Row],[Z]])</f>
        <v>0.28009155733364255</v>
      </c>
      <c r="O13" s="6">
        <f>ABS(Таблица4[[#This Row],[ln(|Z''|)]]-Таблица4[[#This Row],[Предсказанные значения ln(Z'')]])</f>
        <v>0.22322530227505211</v>
      </c>
      <c r="P13" s="6">
        <f>ABS(Таблица4[[#This Row],[Остатки]]/Таблица4[[#This Row],[ln(|Z''|)]])</f>
        <v>0.11471511281413582</v>
      </c>
    </row>
    <row r="14" spans="1:18" x14ac:dyDescent="0.25">
      <c r="A14">
        <v>13</v>
      </c>
      <c r="B14" s="3">
        <v>39</v>
      </c>
      <c r="C14" s="3">
        <v>353</v>
      </c>
      <c r="D14" s="3">
        <v>-7</v>
      </c>
      <c r="E14" s="3">
        <f>Таблица4[[#This Row],[Z]]+$R$3</f>
        <v>5</v>
      </c>
      <c r="F14" s="6">
        <f>LN(ABS(B14))</f>
        <v>3.6635616461296463</v>
      </c>
      <c r="G14" s="6">
        <f>LN(ABS(C14))</f>
        <v>5.8664680569332965</v>
      </c>
      <c r="H14" s="6">
        <f t="shared" si="0"/>
        <v>1.6094379124341003</v>
      </c>
      <c r="I14" s="6">
        <f t="shared" si="1"/>
        <v>21.492167371625534</v>
      </c>
      <c r="J14" s="6">
        <f t="shared" si="2"/>
        <v>5.8962750078205337</v>
      </c>
      <c r="K14" s="6">
        <f t="shared" si="3"/>
        <v>9.4417161029120571</v>
      </c>
      <c r="L14" s="6">
        <f>$R$10+$R$11*Таблица4[[#This Row],[ln(X)]]+$R$12*Таблица4[[#This Row],[ln(Y)]]</f>
        <v>1.7785491638270088</v>
      </c>
      <c r="M14" s="6">
        <f>EXP($R$10)*Таблица4[[#This Row],[X]]^$R$11*Таблица4[[#This Row],[Y]]^$R$12-$R$3</f>
        <v>-6.0787405936654251</v>
      </c>
      <c r="N14" s="6">
        <f>ABS((Таблица4[[#This Row],[Предсказанные значения Z]]-Таблица4[[#This Row],[Z]])/Таблица4[[#This Row],[Z]])</f>
        <v>0.131608486619225</v>
      </c>
      <c r="O14" s="6">
        <f>ABS(Таблица4[[#This Row],[ln(|Z''|)]]-Таблица4[[#This Row],[Предсказанные значения ln(Z'')]])</f>
        <v>0.1691112513929085</v>
      </c>
      <c r="P14" s="6">
        <f>ABS(Таблица4[[#This Row],[Остатки]]/Таблица4[[#This Row],[ln(|Z''|)]])</f>
        <v>0.10507472831750687</v>
      </c>
      <c r="Q14" s="5" t="s">
        <v>24</v>
      </c>
      <c r="R14" s="6">
        <f>SUM(Таблица4[Нормированные остатки])/COUNT(Таблица4[Нормированные остатки])</f>
        <v>0.38155439466389174</v>
      </c>
    </row>
    <row r="15" spans="1:18" x14ac:dyDescent="0.25">
      <c r="A15">
        <v>14</v>
      </c>
      <c r="B15">
        <v>36</v>
      </c>
      <c r="C15">
        <v>332</v>
      </c>
      <c r="D15">
        <v>-3</v>
      </c>
      <c r="E15">
        <f>Таблица4[[#This Row],[Z]]+$R$3</f>
        <v>9</v>
      </c>
      <c r="F15" s="6">
        <f>LN(ABS(B15))</f>
        <v>3.5835189384561099</v>
      </c>
      <c r="G15" s="6">
        <f>LN(ABS(C15))</f>
        <v>5.8051349689164882</v>
      </c>
      <c r="H15" s="6">
        <f t="shared" si="0"/>
        <v>2.1972245773362196</v>
      </c>
      <c r="I15" s="6">
        <f t="shared" si="1"/>
        <v>20.802811101406057</v>
      </c>
      <c r="J15" s="6">
        <f t="shared" si="2"/>
        <v>7.8737958849255643</v>
      </c>
      <c r="K15" s="6">
        <f t="shared" si="3"/>
        <v>12.755185228457238</v>
      </c>
      <c r="L15" s="6">
        <f>$R$10+$R$11*Таблица4[[#This Row],[ln(X)]]+$R$12*Таблица4[[#This Row],[ln(Y)]]</f>
        <v>1.657577908452005</v>
      </c>
      <c r="M15" s="6">
        <f>EXP($R$10)*Таблица4[[#This Row],[X]]^$R$11*Таблица4[[#This Row],[Y]]^$R$12-$R$3</f>
        <v>-6.7534122733995723</v>
      </c>
      <c r="N15" s="6">
        <f>ABS((Таблица4[[#This Row],[Предсказанные значения Z]]-Таблица4[[#This Row],[Z]])/Таблица4[[#This Row],[Z]])</f>
        <v>1.2511374244665241</v>
      </c>
      <c r="O15" s="6">
        <f>ABS(Таблица4[[#This Row],[ln(|Z''|)]]-Таблица4[[#This Row],[Предсказанные значения ln(Z'')]])</f>
        <v>0.53964666888421453</v>
      </c>
      <c r="P15" s="6">
        <f>ABS(Таблица4[[#This Row],[Остатки]]/Таблица4[[#This Row],[ln(|Z''|)]])</f>
        <v>0.24560378326845819</v>
      </c>
      <c r="Q15" s="5" t="s">
        <v>109</v>
      </c>
      <c r="R15" s="6">
        <f>SUM(Таблица4[Нормированные остатки для Z])/COUNT(Таблица4[Нормированные остатки для Z])</f>
        <v>1.0694734145084823</v>
      </c>
    </row>
    <row r="16" spans="1:18" x14ac:dyDescent="0.25">
      <c r="A16">
        <v>15</v>
      </c>
      <c r="B16" s="3">
        <v>34</v>
      </c>
      <c r="C16" s="3">
        <v>307</v>
      </c>
      <c r="D16" s="3">
        <v>-10</v>
      </c>
      <c r="E16" s="3">
        <f>Таблица4[[#This Row],[Z]]+$R$3</f>
        <v>2</v>
      </c>
      <c r="F16" s="6">
        <f>LN(ABS(B16))</f>
        <v>3.5263605246161616</v>
      </c>
      <c r="G16" s="6">
        <f>LN(ABS(C16))</f>
        <v>5.7268477475871968</v>
      </c>
      <c r="H16" s="6">
        <f t="shared" si="0"/>
        <v>0.69314718055994529</v>
      </c>
      <c r="I16" s="6">
        <f t="shared" si="1"/>
        <v>20.19492982757847</v>
      </c>
      <c r="J16" s="6">
        <f t="shared" si="2"/>
        <v>2.4442868552755819</v>
      </c>
      <c r="K16" s="6">
        <f t="shared" si="3"/>
        <v>3.9695483697361387</v>
      </c>
      <c r="L16" s="6">
        <f>$R$10+$R$11*Таблица4[[#This Row],[ln(X)]]+$R$12*Таблица4[[#This Row],[ln(Y)]]</f>
        <v>1.836242941951987</v>
      </c>
      <c r="M16" s="6">
        <f>EXP($R$10)*Таблица4[[#This Row],[X]]^$R$11*Таблица4[[#This Row],[Y]]^$R$12-$R$3</f>
        <v>-5.7270738149767908</v>
      </c>
      <c r="N16" s="6">
        <f>ABS((Таблица4[[#This Row],[Предсказанные значения Z]]-Таблица4[[#This Row],[Z]])/Таблица4[[#This Row],[Z]])</f>
        <v>0.42729261850232092</v>
      </c>
      <c r="O16" s="6">
        <f>ABS(Таблица4[[#This Row],[ln(|Z''|)]]-Таблица4[[#This Row],[Предсказанные значения ln(Z'')]])</f>
        <v>1.1430957613920416</v>
      </c>
      <c r="P16" s="6">
        <f>ABS(Таблица4[[#This Row],[Остатки]]/Таблица4[[#This Row],[ln(|Z''|)]])</f>
        <v>1.6491385862214922</v>
      </c>
      <c r="Q16" s="5" t="s">
        <v>39</v>
      </c>
      <c r="R16" s="6">
        <f>1-SUMSQ(Таблица4[Остатки])/SUMSQ(Таблица3[Отклонения ln(Z'')])</f>
        <v>2.0481085930501353E-2</v>
      </c>
    </row>
    <row r="17" spans="1:16" x14ac:dyDescent="0.25">
      <c r="A17">
        <v>16</v>
      </c>
      <c r="B17">
        <v>29</v>
      </c>
      <c r="C17">
        <v>264</v>
      </c>
      <c r="D17">
        <v>-1</v>
      </c>
      <c r="E17">
        <f>Таблица4[[#This Row],[Z]]+$R$3</f>
        <v>11</v>
      </c>
      <c r="F17" s="6">
        <f>LN(ABS(B17))</f>
        <v>3.3672958299864741</v>
      </c>
      <c r="G17" s="6">
        <f>LN(ABS(C17))</f>
        <v>5.575949103146316</v>
      </c>
      <c r="H17" s="6">
        <f t="shared" si="0"/>
        <v>2.3978952727983707</v>
      </c>
      <c r="I17" s="6">
        <f t="shared" si="1"/>
        <v>18.775870163241411</v>
      </c>
      <c r="J17" s="6">
        <f t="shared" si="2"/>
        <v>8.0744227528382329</v>
      </c>
      <c r="K17" s="6">
        <f t="shared" si="3"/>
        <v>13.370541995798865</v>
      </c>
      <c r="L17" s="6">
        <f>$R$10+$R$11*Таблица4[[#This Row],[ln(X)]]+$R$12*Таблица4[[#This Row],[ln(Y)]]</f>
        <v>1.8188202842204717</v>
      </c>
      <c r="M17" s="6">
        <f>EXP($R$10)*Таблица4[[#This Row],[X]]^$R$11*Таблица4[[#This Row],[Y]]^$R$12-$R$3</f>
        <v>-5.8354182958289593</v>
      </c>
      <c r="N17" s="6">
        <f>ABS((Таблица4[[#This Row],[Предсказанные значения Z]]-Таблица4[[#This Row],[Z]])/Таблица4[[#This Row],[Z]])</f>
        <v>4.8354182958289593</v>
      </c>
      <c r="O17" s="6">
        <f>ABS(Таблица4[[#This Row],[ln(|Z''|)]]-Таблица4[[#This Row],[Предсказанные значения ln(Z'')]])</f>
        <v>0.57907498857789896</v>
      </c>
      <c r="P17" s="6">
        <f>ABS(Таблица4[[#This Row],[Остатки]]/Таблица4[[#This Row],[ln(|Z''|)]])</f>
        <v>0.24149302730060931</v>
      </c>
    </row>
    <row r="18" spans="1:16" x14ac:dyDescent="0.25">
      <c r="A18">
        <v>17</v>
      </c>
      <c r="B18" s="3">
        <v>31</v>
      </c>
      <c r="C18" s="3">
        <v>285</v>
      </c>
      <c r="D18" s="3">
        <v>-3</v>
      </c>
      <c r="E18" s="3">
        <f>Таблица4[[#This Row],[Z]]+$R$3</f>
        <v>9</v>
      </c>
      <c r="F18" s="6">
        <f>LN(ABS(B18))</f>
        <v>3.4339872044851463</v>
      </c>
      <c r="G18" s="6">
        <f>LN(ABS(C18))</f>
        <v>5.6524891802686508</v>
      </c>
      <c r="H18" s="6">
        <f t="shared" si="0"/>
        <v>2.1972245773362196</v>
      </c>
      <c r="I18" s="6">
        <f t="shared" si="1"/>
        <v>19.410575518533282</v>
      </c>
      <c r="J18" s="6">
        <f t="shared" si="2"/>
        <v>7.5452410839528614</v>
      </c>
      <c r="K18" s="6">
        <f t="shared" si="3"/>
        <v>12.419788150013341</v>
      </c>
      <c r="L18" s="6">
        <f>$R$10+$R$11*Таблица4[[#This Row],[ln(X)]]+$R$12*Таблица4[[#This Row],[ln(Y)]]</f>
        <v>1.7241259628255037</v>
      </c>
      <c r="M18" s="6">
        <f>EXP($R$10)*Таблица4[[#This Row],[X]]^$R$11*Таблица4[[#This Row],[Y]]^$R$12-$R$3</f>
        <v>-6.3923823791364995</v>
      </c>
      <c r="N18" s="6">
        <f>ABS((Таблица4[[#This Row],[Предсказанные значения Z]]-Таблица4[[#This Row],[Z]])/Таблица4[[#This Row],[Z]])</f>
        <v>1.1307941263788333</v>
      </c>
      <c r="O18" s="6">
        <f>ABS(Таблица4[[#This Row],[ln(|Z''|)]]-Таблица4[[#This Row],[Предсказанные значения ln(Z'')]])</f>
        <v>0.47309861451071589</v>
      </c>
      <c r="P18" s="6">
        <f>ABS(Таблица4[[#This Row],[Остатки]]/Таблица4[[#This Row],[ln(|Z''|)]])</f>
        <v>0.21531645849523112</v>
      </c>
    </row>
    <row r="19" spans="1:16" x14ac:dyDescent="0.25">
      <c r="A19">
        <v>18</v>
      </c>
      <c r="B19">
        <v>41</v>
      </c>
      <c r="C19">
        <v>377</v>
      </c>
      <c r="D19">
        <v>-5</v>
      </c>
      <c r="E19">
        <f>Таблица4[[#This Row],[Z]]+$R$3</f>
        <v>7</v>
      </c>
      <c r="F19" s="6">
        <f>LN(ABS(B19))</f>
        <v>3.713572066704308</v>
      </c>
      <c r="G19" s="6">
        <f>LN(ABS(C19))</f>
        <v>5.9322451874480109</v>
      </c>
      <c r="H19" s="6">
        <f t="shared" si="0"/>
        <v>1.9459101490553132</v>
      </c>
      <c r="I19" s="6">
        <f t="shared" si="1"/>
        <v>22.029820020947994</v>
      </c>
      <c r="J19" s="6">
        <f t="shared" si="2"/>
        <v>7.2262775738482272</v>
      </c>
      <c r="K19" s="6">
        <f t="shared" si="3"/>
        <v>11.543616116939624</v>
      </c>
      <c r="L19" s="6">
        <f>$R$10+$R$11*Таблица4[[#This Row],[ln(X)]]+$R$12*Таблица4[[#This Row],[ln(Y)]]</f>
        <v>1.6431290280739148</v>
      </c>
      <c r="M19" s="6">
        <f>EXP($R$10)*Таблица4[[#This Row],[X]]^$R$11*Таблица4[[#This Row],[Y]]^$R$12-$R$3</f>
        <v>-6.8286745546332099</v>
      </c>
      <c r="N19" s="6">
        <f>ABS((Таблица4[[#This Row],[Предсказанные значения Z]]-Таблица4[[#This Row],[Z]])/Таблица4[[#This Row],[Z]])</f>
        <v>0.36573491092664201</v>
      </c>
      <c r="O19" s="6">
        <f>ABS(Таблица4[[#This Row],[ln(|Z''|)]]-Таблица4[[#This Row],[Предсказанные значения ln(Z'')]])</f>
        <v>0.30278112098139842</v>
      </c>
      <c r="P19" s="6">
        <f>ABS(Таблица4[[#This Row],[Остатки]]/Таблица4[[#This Row],[ln(|Z''|)]])</f>
        <v>0.15559871617319559</v>
      </c>
    </row>
    <row r="20" spans="1:16" x14ac:dyDescent="0.25">
      <c r="A20">
        <v>19</v>
      </c>
      <c r="B20" s="3">
        <v>15</v>
      </c>
      <c r="C20" s="3">
        <v>137</v>
      </c>
      <c r="D20" s="3">
        <v>-5</v>
      </c>
      <c r="E20" s="3">
        <f>Таблица4[[#This Row],[Z]]+$R$3</f>
        <v>7</v>
      </c>
      <c r="F20" s="6">
        <f>LN(ABS(B20))</f>
        <v>2.7080502011022101</v>
      </c>
      <c r="G20" s="6">
        <f>LN(ABS(C20))</f>
        <v>4.9199809258281251</v>
      </c>
      <c r="H20" s="6">
        <f t="shared" si="0"/>
        <v>1.9459101490553132</v>
      </c>
      <c r="I20" s="6">
        <f t="shared" si="1"/>
        <v>13.323555335607892</v>
      </c>
      <c r="J20" s="6">
        <f t="shared" si="2"/>
        <v>5.269622370476073</v>
      </c>
      <c r="K20" s="6">
        <f t="shared" si="3"/>
        <v>9.573840816727504</v>
      </c>
      <c r="L20" s="6">
        <f>$R$10+$R$11*Таблица4[[#This Row],[ln(X)]]+$R$12*Таблица4[[#This Row],[ln(Y)]]</f>
        <v>1.9815180731672086</v>
      </c>
      <c r="M20" s="6">
        <f>EXP($R$10)*Таблица4[[#This Row],[X]]^$R$11*Таблица4[[#This Row],[Y]]^$R$12-$R$3</f>
        <v>-4.7462536512138138</v>
      </c>
      <c r="N20" s="6">
        <f>ABS((Таблица4[[#This Row],[Предсказанные значения Z]]-Таблица4[[#This Row],[Z]])/Таблица4[[#This Row],[Z]])</f>
        <v>5.0749269757237238E-2</v>
      </c>
      <c r="O20" s="6">
        <f>ABS(Таблица4[[#This Row],[ln(|Z''|)]]-Таблица4[[#This Row],[Предсказанные значения ln(Z'')]])</f>
        <v>3.5607924111895395E-2</v>
      </c>
      <c r="P20" s="6">
        <f>ABS(Таблица4[[#This Row],[Остатки]]/Таблица4[[#This Row],[ln(|Z''|)]])</f>
        <v>1.8298853176330922E-2</v>
      </c>
    </row>
    <row r="21" spans="1:16" x14ac:dyDescent="0.25">
      <c r="A21">
        <v>20</v>
      </c>
      <c r="B21">
        <v>27</v>
      </c>
      <c r="C21">
        <v>245</v>
      </c>
      <c r="D21">
        <v>-1</v>
      </c>
      <c r="E21">
        <f>Таблица4[[#This Row],[Z]]+$R$3</f>
        <v>11</v>
      </c>
      <c r="F21" s="6">
        <f>LN(ABS(B21))</f>
        <v>3.2958368660043291</v>
      </c>
      <c r="G21" s="6">
        <f>LN(ABS(C21))</f>
        <v>5.5012582105447274</v>
      </c>
      <c r="H21" s="6">
        <f t="shared" si="0"/>
        <v>2.3978952727983707</v>
      </c>
      <c r="I21" s="6">
        <f t="shared" si="1"/>
        <v>18.131249619722318</v>
      </c>
      <c r="J21" s="6">
        <f t="shared" si="2"/>
        <v>7.9030716409063775</v>
      </c>
      <c r="K21" s="6">
        <f t="shared" si="3"/>
        <v>13.191441057508426</v>
      </c>
      <c r="L21" s="6">
        <f>$R$10+$R$11*Таблица4[[#This Row],[ln(X)]]+$R$12*Таблица4[[#This Row],[ln(Y)]]</f>
        <v>1.8640234603958135</v>
      </c>
      <c r="M21" s="6">
        <f>EXP($R$10)*Таблица4[[#This Row],[X]]^$R$11*Таблица4[[#This Row],[Y]]^$R$12-$R$3</f>
        <v>-5.5503655137995622</v>
      </c>
      <c r="N21" s="6">
        <f>ABS((Таблица4[[#This Row],[Предсказанные значения Z]]-Таблица4[[#This Row],[Z]])/Таблица4[[#This Row],[Z]])</f>
        <v>4.5503655137995622</v>
      </c>
      <c r="O21" s="6">
        <f>ABS(Таблица4[[#This Row],[ln(|Z''|)]]-Таблица4[[#This Row],[Предсказанные значения ln(Z'')]])</f>
        <v>0.53387181240255721</v>
      </c>
      <c r="P21" s="6">
        <f>ABS(Таблица4[[#This Row],[Остатки]]/Таблица4[[#This Row],[ln(|Z''|)]])</f>
        <v>0.22264183864023504</v>
      </c>
    </row>
    <row r="22" spans="1:16" x14ac:dyDescent="0.25">
      <c r="A22">
        <v>21</v>
      </c>
      <c r="B22" s="3">
        <v>46</v>
      </c>
      <c r="C22" s="3">
        <v>421</v>
      </c>
      <c r="D22" s="3">
        <v>1</v>
      </c>
      <c r="E22" s="3">
        <f>Таблица4[[#This Row],[Z]]+$R$3</f>
        <v>13</v>
      </c>
      <c r="F22" s="6">
        <f>LN(ABS(B22))</f>
        <v>3.8286413964890951</v>
      </c>
      <c r="G22" s="6">
        <f>LN(ABS(C22))</f>
        <v>6.0426328336823811</v>
      </c>
      <c r="H22" s="6">
        <f t="shared" si="0"/>
        <v>2.5649493574615367</v>
      </c>
      <c r="I22" s="6">
        <f t="shared" si="1"/>
        <v>23.135074210820569</v>
      </c>
      <c r="J22" s="6">
        <f t="shared" si="2"/>
        <v>9.820271289875345</v>
      </c>
      <c r="K22" s="6">
        <f t="shared" si="3"/>
        <v>15.499047204129608</v>
      </c>
      <c r="L22" s="6">
        <f>$R$10+$R$11*Таблица4[[#This Row],[ln(X)]]+$R$12*Таблица4[[#This Row],[ln(Y)]]</f>
        <v>1.6463130071702068</v>
      </c>
      <c r="M22" s="6">
        <f>EXP($R$10)*Таблица4[[#This Row],[X]]^$R$11*Таблица4[[#This Row],[Y]]^$R$12-$R$3</f>
        <v>-6.8121829219404768</v>
      </c>
      <c r="N22" s="6">
        <f>ABS((Таблица4[[#This Row],[Предсказанные значения Z]]-Таблица4[[#This Row],[Z]])/Таблица4[[#This Row],[Z]])</f>
        <v>7.8121829219404768</v>
      </c>
      <c r="O22" s="6">
        <f>ABS(Таблица4[[#This Row],[ln(|Z''|)]]-Таблица4[[#This Row],[Предсказанные значения ln(Z'')]])</f>
        <v>0.91863635029132995</v>
      </c>
      <c r="P22" s="6">
        <f>ABS(Таблица4[[#This Row],[Остатки]]/Таблица4[[#This Row],[ln(|Z''|)]])</f>
        <v>0.3581498978211719</v>
      </c>
    </row>
    <row r="23" spans="1:16" x14ac:dyDescent="0.25">
      <c r="A23">
        <v>22</v>
      </c>
      <c r="B23">
        <v>34</v>
      </c>
      <c r="C23">
        <v>313</v>
      </c>
      <c r="D23">
        <v>-10</v>
      </c>
      <c r="E23">
        <f>Таблица4[[#This Row],[Z]]+$R$3</f>
        <v>2</v>
      </c>
      <c r="F23" s="6">
        <f>LN(ABS(B23))</f>
        <v>3.5263605246161616</v>
      </c>
      <c r="G23" s="6">
        <f>LN(ABS(C23))</f>
        <v>5.7462031905401529</v>
      </c>
      <c r="H23" s="6">
        <f t="shared" si="0"/>
        <v>0.69314718055994529</v>
      </c>
      <c r="I23" s="6">
        <f t="shared" si="1"/>
        <v>20.263184097544237</v>
      </c>
      <c r="J23" s="6">
        <f t="shared" si="2"/>
        <v>2.4442868552755819</v>
      </c>
      <c r="K23" s="6">
        <f t="shared" si="3"/>
        <v>3.9829645404474689</v>
      </c>
      <c r="L23" s="6">
        <f>$R$10+$R$11*Таблица4[[#This Row],[ln(X)]]+$R$12*Таблица4[[#This Row],[ln(Y)]]</f>
        <v>1.6874963628585178</v>
      </c>
      <c r="M23" s="6">
        <f>EXP($R$10)*Таблица4[[#This Row],[X]]^$R$11*Таблица4[[#This Row],[Y]]^$R$12-$R$3</f>
        <v>-6.5940707370241443</v>
      </c>
      <c r="N23" s="6">
        <f>ABS((Таблица4[[#This Row],[Предсказанные значения Z]]-Таблица4[[#This Row],[Z]])/Таблица4[[#This Row],[Z]])</f>
        <v>0.34059292629758559</v>
      </c>
      <c r="O23" s="6">
        <f>ABS(Таблица4[[#This Row],[ln(|Z''|)]]-Таблица4[[#This Row],[Предсказанные значения ln(Z'')]])</f>
        <v>0.9943491822985725</v>
      </c>
      <c r="P23" s="6">
        <f>ABS(Таблица4[[#This Row],[Остатки]]/Таблица4[[#This Row],[ln(|Z''|)]])</f>
        <v>1.4345426342141465</v>
      </c>
    </row>
    <row r="24" spans="1:16" x14ac:dyDescent="0.25">
      <c r="A24">
        <v>23</v>
      </c>
      <c r="B24" s="3">
        <v>39</v>
      </c>
      <c r="C24" s="3">
        <v>359</v>
      </c>
      <c r="D24" s="3">
        <v>-3</v>
      </c>
      <c r="E24" s="3">
        <f>Таблица4[[#This Row],[Z]]+$R$3</f>
        <v>9</v>
      </c>
      <c r="F24" s="6">
        <f>LN(ABS(B24))</f>
        <v>3.6635616461296463</v>
      </c>
      <c r="G24" s="6">
        <f>LN(ABS(C24))</f>
        <v>5.8833223884882786</v>
      </c>
      <c r="H24" s="6">
        <f t="shared" si="0"/>
        <v>2.1972245773362196</v>
      </c>
      <c r="I24" s="6">
        <f t="shared" si="1"/>
        <v>21.553914254281519</v>
      </c>
      <c r="J24" s="6">
        <f t="shared" si="2"/>
        <v>8.0496676894623977</v>
      </c>
      <c r="K24" s="6">
        <f t="shared" si="3"/>
        <v>12.926980548378875</v>
      </c>
      <c r="L24" s="6">
        <f>$R$10+$R$11*Таблица4[[#This Row],[ln(X)]]+$R$12*Таблица4[[#This Row],[ln(Y)]]</f>
        <v>1.6490236258269704</v>
      </c>
      <c r="M24" s="6">
        <f>EXP($R$10)*Таблица4[[#This Row],[X]]^$R$11*Таблица4[[#This Row],[Y]]^$R$12-$R$3</f>
        <v>-6.7981016523265554</v>
      </c>
      <c r="N24" s="6">
        <f>ABS((Таблица4[[#This Row],[Предсказанные значения Z]]-Таблица4[[#This Row],[Z]])/Таблица4[[#This Row],[Z]])</f>
        <v>1.2660338841088519</v>
      </c>
      <c r="O24" s="6">
        <f>ABS(Таблица4[[#This Row],[ln(|Z''|)]]-Таблица4[[#This Row],[Предсказанные значения ln(Z'')]])</f>
        <v>0.54820095150924919</v>
      </c>
      <c r="P24" s="6">
        <f>ABS(Таблица4[[#This Row],[Остатки]]/Таблица4[[#This Row],[ln(|Z''|)]])</f>
        <v>0.24949700506893766</v>
      </c>
    </row>
    <row r="25" spans="1:16" x14ac:dyDescent="0.25">
      <c r="A25">
        <v>24</v>
      </c>
      <c r="B25">
        <v>49</v>
      </c>
      <c r="C25">
        <v>443</v>
      </c>
      <c r="D25">
        <v>-9</v>
      </c>
      <c r="E25">
        <f>Таблица4[[#This Row],[Z]]+$R$3</f>
        <v>3</v>
      </c>
      <c r="F25" s="6">
        <f>LN(ABS(B25))</f>
        <v>3.8918202981106265</v>
      </c>
      <c r="G25" s="6">
        <f>LN(ABS(C25))</f>
        <v>6.0935697700451357</v>
      </c>
      <c r="H25" s="6">
        <f t="shared" si="0"/>
        <v>1.0986122886681098</v>
      </c>
      <c r="I25" s="6">
        <f t="shared" si="1"/>
        <v>23.715078519014963</v>
      </c>
      <c r="J25" s="6">
        <f t="shared" si="2"/>
        <v>4.2756016047923202</v>
      </c>
      <c r="K25" s="6">
        <f t="shared" si="3"/>
        <v>6.6944706312280937</v>
      </c>
      <c r="L25" s="6">
        <f>$R$10+$R$11*Таблица4[[#This Row],[ln(X)]]+$R$12*Таблица4[[#This Row],[ln(Y)]]</f>
        <v>1.7223865232217719</v>
      </c>
      <c r="M25" s="6">
        <f>EXP($R$10)*Таблица4[[#This Row],[X]]^$R$11*Таблица4[[#This Row],[Y]]^$R$12-$R$3</f>
        <v>-6.4021280128809046</v>
      </c>
      <c r="N25" s="6">
        <f>ABS((Таблица4[[#This Row],[Предсказанные значения Z]]-Таблица4[[#This Row],[Z]])/Таблица4[[#This Row],[Z]])</f>
        <v>0.28865244301323284</v>
      </c>
      <c r="O25" s="6">
        <f>ABS(Таблица4[[#This Row],[ln(|Z''|)]]-Таблица4[[#This Row],[Предсказанные значения ln(Z'')]])</f>
        <v>0.6237742345536621</v>
      </c>
      <c r="P25" s="6">
        <f>ABS(Таблица4[[#This Row],[Остатки]]/Таблица4[[#This Row],[ln(|Z''|)]])</f>
        <v>0.5677837768498728</v>
      </c>
    </row>
    <row r="26" spans="1:16" x14ac:dyDescent="0.25">
      <c r="A26">
        <v>25</v>
      </c>
      <c r="B26" s="3">
        <v>22</v>
      </c>
      <c r="C26" s="3">
        <v>201</v>
      </c>
      <c r="D26" s="3">
        <v>-6</v>
      </c>
      <c r="E26" s="3">
        <f>Таблица4[[#This Row],[Z]]+$R$3</f>
        <v>6</v>
      </c>
      <c r="F26" s="6">
        <f>LN(ABS(B26))</f>
        <v>3.0910424533583161</v>
      </c>
      <c r="G26" s="6">
        <f>LN(ABS(C26))</f>
        <v>5.3033049080590757</v>
      </c>
      <c r="H26" s="6">
        <f t="shared" si="0"/>
        <v>1.791759469228055</v>
      </c>
      <c r="I26" s="6">
        <f t="shared" si="1"/>
        <v>16.392740613914125</v>
      </c>
      <c r="J26" s="6">
        <f t="shared" si="2"/>
        <v>5.5384045855906816</v>
      </c>
      <c r="K26" s="6">
        <f t="shared" si="3"/>
        <v>9.5022467872184677</v>
      </c>
      <c r="L26" s="6">
        <f>$R$10+$R$11*Таблица4[[#This Row],[ln(X)]]+$R$12*Таблица4[[#This Row],[ln(Y)]]</f>
        <v>1.8698159364175382</v>
      </c>
      <c r="M26" s="6">
        <f>EXP($R$10)*Таблица4[[#This Row],[X]]^$R$11*Таблица4[[#This Row],[Y]]^$R$12-$R$3</f>
        <v>-5.5128977498895342</v>
      </c>
      <c r="N26" s="6">
        <f>ABS((Таблица4[[#This Row],[Предсказанные значения Z]]-Таблица4[[#This Row],[Z]])/Таблица4[[#This Row],[Z]])</f>
        <v>8.1183708351744308E-2</v>
      </c>
      <c r="O26" s="6">
        <f>ABS(Таблица4[[#This Row],[ln(|Z''|)]]-Таблица4[[#This Row],[Предсказанные значения ln(Z'')]])</f>
        <v>7.8056467189483225E-2</v>
      </c>
      <c r="P26" s="6">
        <f>ABS(Таблица4[[#This Row],[Остатки]]/Таблица4[[#This Row],[ln(|Z''|)]])</f>
        <v>4.3564143809499356E-2</v>
      </c>
    </row>
    <row r="27" spans="1:16" x14ac:dyDescent="0.25">
      <c r="A27">
        <v>26</v>
      </c>
      <c r="B27">
        <v>48</v>
      </c>
      <c r="C27">
        <v>440</v>
      </c>
      <c r="D27">
        <v>-2</v>
      </c>
      <c r="E27">
        <f>Таблица4[[#This Row],[Z]]+$R$3</f>
        <v>10</v>
      </c>
      <c r="F27" s="6">
        <f>LN(ABS(B27))</f>
        <v>3.8712010109078911</v>
      </c>
      <c r="G27" s="6">
        <f>LN(ABS(C27))</f>
        <v>6.0867747269123065</v>
      </c>
      <c r="H27" s="6">
        <f t="shared" si="0"/>
        <v>2.3025850929940459</v>
      </c>
      <c r="I27" s="6">
        <f t="shared" si="1"/>
        <v>23.563128475991522</v>
      </c>
      <c r="J27" s="6">
        <f t="shared" si="2"/>
        <v>8.9137697396999904</v>
      </c>
      <c r="K27" s="6">
        <f t="shared" si="3"/>
        <v>14.015316750601182</v>
      </c>
      <c r="L27" s="6">
        <f>$R$10+$R$11*Таблица4[[#This Row],[ln(X)]]+$R$12*Таблица4[[#This Row],[ln(Y)]]</f>
        <v>1.6220237043973214</v>
      </c>
      <c r="M27" s="6">
        <f>EXP($R$10)*Таблица4[[#This Row],[X]]^$R$11*Таблица4[[#This Row],[Y]]^$R$12-$R$3</f>
        <v>-6.9366733681978276</v>
      </c>
      <c r="N27" s="6">
        <f>ABS((Таблица4[[#This Row],[Предсказанные значения Z]]-Таблица4[[#This Row],[Z]])/Таблица4[[#This Row],[Z]])</f>
        <v>2.4683366840989138</v>
      </c>
      <c r="O27" s="6">
        <f>ABS(Таблица4[[#This Row],[ln(|Z''|)]]-Таблица4[[#This Row],[Предсказанные значения ln(Z'')]])</f>
        <v>0.68056138859672455</v>
      </c>
      <c r="P27" s="6">
        <f>ABS(Таблица4[[#This Row],[Остатки]]/Таблица4[[#This Row],[ln(|Z''|)]])</f>
        <v>0.29556405566397209</v>
      </c>
    </row>
    <row r="28" spans="1:16" x14ac:dyDescent="0.25">
      <c r="A28">
        <v>27</v>
      </c>
      <c r="B28" s="3">
        <v>30</v>
      </c>
      <c r="C28" s="3">
        <v>274</v>
      </c>
      <c r="D28" s="3">
        <v>-2</v>
      </c>
      <c r="E28" s="3">
        <f>Таблица4[[#This Row],[Z]]+$R$3</f>
        <v>10</v>
      </c>
      <c r="F28" s="6">
        <f>LN(ABS(B28))</f>
        <v>3.4011973816621555</v>
      </c>
      <c r="G28" s="6">
        <f>LN(ABS(C28))</f>
        <v>5.6131281063880705</v>
      </c>
      <c r="H28" s="6">
        <f t="shared" si="0"/>
        <v>2.3025850929940459</v>
      </c>
      <c r="I28" s="6">
        <f t="shared" si="1"/>
        <v>19.091356618381358</v>
      </c>
      <c r="J28" s="6">
        <f t="shared" si="2"/>
        <v>7.8315463893456601</v>
      </c>
      <c r="K28" s="6">
        <f t="shared" si="3"/>
        <v>12.924705102835068</v>
      </c>
      <c r="L28" s="6">
        <f>$R$10+$R$11*Таблица4[[#This Row],[ln(X)]]+$R$12*Таблица4[[#This Row],[ln(Y)]]</f>
        <v>1.7839711267076268</v>
      </c>
      <c r="M28" s="6">
        <f>EXP($R$10)*Таблица4[[#This Row],[X]]^$R$11*Таблица4[[#This Row],[Y]]^$R$12-$R$3</f>
        <v>-6.046548551793931</v>
      </c>
      <c r="N28" s="6">
        <f>ABS((Таблица4[[#This Row],[Предсказанные значения Z]]-Таблица4[[#This Row],[Z]])/Таблица4[[#This Row],[Z]])</f>
        <v>2.0232742758969655</v>
      </c>
      <c r="O28" s="6">
        <f>ABS(Таблица4[[#This Row],[ln(|Z''|)]]-Таблица4[[#This Row],[Предсказанные значения ln(Z'')]])</f>
        <v>0.51861396628641909</v>
      </c>
      <c r="P28" s="6">
        <f>ABS(Таблица4[[#This Row],[Остатки]]/Таблица4[[#This Row],[ln(|Z''|)]])</f>
        <v>0.22523118379615087</v>
      </c>
    </row>
    <row r="29" spans="1:16" x14ac:dyDescent="0.25">
      <c r="A29">
        <v>28</v>
      </c>
      <c r="B29">
        <v>29</v>
      </c>
      <c r="C29">
        <v>261</v>
      </c>
      <c r="D29">
        <v>-8</v>
      </c>
      <c r="E29">
        <f>Таблица4[[#This Row],[Z]]+$R$3</f>
        <v>4</v>
      </c>
      <c r="F29" s="6">
        <f>LN(ABS(B29))</f>
        <v>3.3672958299864741</v>
      </c>
      <c r="G29" s="6">
        <f>LN(ABS(C29))</f>
        <v>5.5645204073226937</v>
      </c>
      <c r="H29" s="6">
        <f t="shared" si="0"/>
        <v>1.3862943611198906</v>
      </c>
      <c r="I29" s="6">
        <f t="shared" si="1"/>
        <v>18.737386363452345</v>
      </c>
      <c r="J29" s="6">
        <f t="shared" si="2"/>
        <v>4.6680632213327709</v>
      </c>
      <c r="K29" s="6">
        <f t="shared" si="3"/>
        <v>7.7140632630080068</v>
      </c>
      <c r="L29" s="6">
        <f>$R$10+$R$11*Таблица4[[#This Row],[ln(X)]]+$R$12*Таблица4[[#This Row],[ln(Y)]]</f>
        <v>1.9066498116250088</v>
      </c>
      <c r="M29" s="6">
        <f>EXP($R$10)*Таблица4[[#This Row],[X]]^$R$11*Таблица4[[#This Row],[Y]]^$R$12-$R$3</f>
        <v>-5.2694974658114599</v>
      </c>
      <c r="N29" s="6">
        <f>ABS((Таблица4[[#This Row],[Предсказанные значения Z]]-Таблица4[[#This Row],[Z]])/Таблица4[[#This Row],[Z]])</f>
        <v>0.34131281677356751</v>
      </c>
      <c r="O29" s="6">
        <f>ABS(Таблица4[[#This Row],[ln(|Z''|)]]-Таблица4[[#This Row],[Предсказанные значения ln(Z'')]])</f>
        <v>0.52035545050511822</v>
      </c>
      <c r="P29" s="6">
        <f>ABS(Таблица4[[#This Row],[Остатки]]/Таблица4[[#This Row],[ln(|Z''|)]])</f>
        <v>0.37535711397163829</v>
      </c>
    </row>
    <row r="30" spans="1:16" x14ac:dyDescent="0.25">
      <c r="A30">
        <v>29</v>
      </c>
      <c r="B30" s="3">
        <v>29</v>
      </c>
      <c r="C30" s="3">
        <v>270</v>
      </c>
      <c r="D30" s="3">
        <v>-9</v>
      </c>
      <c r="E30" s="3">
        <f>Таблица4[[#This Row],[Z]]+$R$3</f>
        <v>3</v>
      </c>
      <c r="F30" s="6">
        <f>LN(ABS(B30))</f>
        <v>3.3672958299864741</v>
      </c>
      <c r="G30" s="6">
        <f>LN(ABS(C30))</f>
        <v>5.598421958998375</v>
      </c>
      <c r="H30" s="6">
        <f t="shared" si="0"/>
        <v>1.0986122886681098</v>
      </c>
      <c r="I30" s="6">
        <f t="shared" si="1"/>
        <v>18.851542917039936</v>
      </c>
      <c r="J30" s="6">
        <f t="shared" si="2"/>
        <v>3.6993525784040227</v>
      </c>
      <c r="K30" s="6">
        <f t="shared" si="3"/>
        <v>6.1504951613050078</v>
      </c>
      <c r="L30" s="6">
        <f>$R$10+$R$11*Таблица4[[#This Row],[ln(X)]]+$R$12*Таблица4[[#This Row],[ln(Y)]]</f>
        <v>1.6461163869973916</v>
      </c>
      <c r="M30" s="6">
        <f>EXP($R$10)*Таблица4[[#This Row],[X]]^$R$11*Таблица4[[#This Row],[Y]]^$R$12-$R$3</f>
        <v>-6.8132028511582634</v>
      </c>
      <c r="N30" s="6">
        <f>ABS((Таблица4[[#This Row],[Предсказанные значения Z]]-Таблица4[[#This Row],[Z]])/Таблица4[[#This Row],[Z]])</f>
        <v>0.24297746098241518</v>
      </c>
      <c r="O30" s="6">
        <f>ABS(Таблица4[[#This Row],[ln(|Z''|)]]-Таблица4[[#This Row],[Предсказанные значения ln(Z'')]])</f>
        <v>0.54750409832928182</v>
      </c>
      <c r="P30" s="6">
        <f>ABS(Таблица4[[#This Row],[Остатки]]/Таблица4[[#This Row],[ln(|Z''|)]])</f>
        <v>0.49835970703826937</v>
      </c>
    </row>
    <row r="31" spans="1:16" x14ac:dyDescent="0.25">
      <c r="A31">
        <v>30</v>
      </c>
      <c r="B31">
        <v>38</v>
      </c>
      <c r="C31">
        <v>345</v>
      </c>
      <c r="D31">
        <v>-2</v>
      </c>
      <c r="E31">
        <f>Таблица4[[#This Row],[Z]]+$R$3</f>
        <v>10</v>
      </c>
      <c r="F31" s="6">
        <f>LN(ABS(B31))</f>
        <v>3.6375861597263857</v>
      </c>
      <c r="G31" s="6">
        <f>LN(ABS(C31))</f>
        <v>5.8435444170313602</v>
      </c>
      <c r="H31" s="6">
        <f t="shared" si="0"/>
        <v>2.3025850929940459</v>
      </c>
      <c r="I31" s="6">
        <f t="shared" si="1"/>
        <v>21.256396295139666</v>
      </c>
      <c r="J31" s="6">
        <f t="shared" si="2"/>
        <v>8.3758516658674349</v>
      </c>
      <c r="K31" s="6">
        <f t="shared" si="3"/>
        <v>13.455258264904993</v>
      </c>
      <c r="L31" s="6">
        <f>$R$10+$R$11*Таблица4[[#This Row],[ln(X)]]+$R$12*Таблица4[[#This Row],[ln(Y)]]</f>
        <v>1.7624987370892526</v>
      </c>
      <c r="M31" s="6">
        <f>EXP($R$10)*Таблица4[[#This Row],[X]]^$R$11*Таблица4[[#This Row],[Y]]^$R$12-$R$3</f>
        <v>-6.1730206920579667</v>
      </c>
      <c r="N31" s="6">
        <f>ABS((Таблица4[[#This Row],[Предсказанные значения Z]]-Таблица4[[#This Row],[Z]])/Таблица4[[#This Row],[Z]])</f>
        <v>2.0865103460289833</v>
      </c>
      <c r="O31" s="6">
        <f>ABS(Таблица4[[#This Row],[ln(|Z''|)]]-Таблица4[[#This Row],[Предсказанные значения ln(Z'')]])</f>
        <v>0.54008635590479326</v>
      </c>
      <c r="P31" s="6">
        <f>ABS(Таблица4[[#This Row],[Остатки]]/Таблица4[[#This Row],[ln(|Z''|)]])</f>
        <v>0.23455652412068745</v>
      </c>
    </row>
    <row r="32" spans="1:16" x14ac:dyDescent="0.25">
      <c r="A32">
        <v>31</v>
      </c>
      <c r="B32" s="3">
        <v>37</v>
      </c>
      <c r="C32" s="3">
        <v>334</v>
      </c>
      <c r="D32" s="3">
        <v>-8</v>
      </c>
      <c r="E32" s="3">
        <f>Таблица4[[#This Row],[Z]]+$R$3</f>
        <v>4</v>
      </c>
      <c r="F32" s="6">
        <f>LN(ABS(B32))</f>
        <v>3.6109179126442243</v>
      </c>
      <c r="G32" s="6">
        <f>LN(ABS(C32))</f>
        <v>5.8111409929767008</v>
      </c>
      <c r="H32" s="6">
        <f t="shared" si="0"/>
        <v>1.3862943611198906</v>
      </c>
      <c r="I32" s="6">
        <f t="shared" si="1"/>
        <v>20.983553104440713</v>
      </c>
      <c r="J32" s="6">
        <f t="shared" si="2"/>
        <v>5.0057951407654935</v>
      </c>
      <c r="K32" s="6">
        <f t="shared" si="3"/>
        <v>8.0559519902362418</v>
      </c>
      <c r="L32" s="6">
        <f>$R$10+$R$11*Таблица4[[#This Row],[ln(X)]]+$R$12*Таблица4[[#This Row],[ln(Y)]]</f>
        <v>1.8141740225413159</v>
      </c>
      <c r="M32" s="6">
        <f>EXP($R$10)*Таблица4[[#This Row],[X]]^$R$11*Таблица4[[#This Row],[Y]]^$R$12-$R$3</f>
        <v>-5.8639941187862323</v>
      </c>
      <c r="N32" s="6">
        <f>ABS((Таблица4[[#This Row],[Предсказанные значения Z]]-Таблица4[[#This Row],[Z]])/Таблица4[[#This Row],[Z]])</f>
        <v>0.26700073515172096</v>
      </c>
      <c r="O32" s="6">
        <f>ABS(Таблица4[[#This Row],[ln(|Z''|)]]-Таблица4[[#This Row],[Предсказанные значения ln(Z'')]])</f>
        <v>0.42787966142142531</v>
      </c>
      <c r="P32" s="6">
        <f>ABS(Таблица4[[#This Row],[Остатки]]/Таблица4[[#This Row],[ln(|Z''|)]])</f>
        <v>0.3086499328149695</v>
      </c>
    </row>
    <row r="33" spans="1:16" x14ac:dyDescent="0.25">
      <c r="A33">
        <v>32</v>
      </c>
      <c r="B33">
        <v>55</v>
      </c>
      <c r="C33">
        <v>498</v>
      </c>
      <c r="D33">
        <v>-9</v>
      </c>
      <c r="E33">
        <f>Таблица4[[#This Row],[Z]]+$R$3</f>
        <v>3</v>
      </c>
      <c r="F33" s="6">
        <f>LN(ABS(B33))</f>
        <v>4.0073331852324712</v>
      </c>
      <c r="G33" s="6">
        <f>LN(ABS(C33))</f>
        <v>6.2106000770246528</v>
      </c>
      <c r="H33" s="6">
        <f t="shared" si="0"/>
        <v>1.0986122886681098</v>
      </c>
      <c r="I33" s="6">
        <f t="shared" si="1"/>
        <v>24.887943788868231</v>
      </c>
      <c r="J33" s="6">
        <f t="shared" si="2"/>
        <v>4.4025054820839111</v>
      </c>
      <c r="K33" s="6">
        <f t="shared" si="3"/>
        <v>6.8230415646223923</v>
      </c>
      <c r="L33" s="6">
        <f>$R$10+$R$11*Таблица4[[#This Row],[ln(X)]]+$R$12*Таблица4[[#This Row],[ln(Y)]]</f>
        <v>1.6778039787858319</v>
      </c>
      <c r="M33" s="6">
        <f>EXP($R$10)*Таблица4[[#This Row],[X]]^$R$11*Таблица4[[#This Row],[Y]]^$R$12-$R$3</f>
        <v>-6.6462139753602774</v>
      </c>
      <c r="N33" s="6">
        <f>ABS((Таблица4[[#This Row],[Предсказанные значения Z]]-Таблица4[[#This Row],[Z]])/Таблица4[[#This Row],[Z]])</f>
        <v>0.26153178051552473</v>
      </c>
      <c r="O33" s="6">
        <f>ABS(Таблица4[[#This Row],[ln(|Z''|)]]-Таблица4[[#This Row],[Предсказанные значения ln(Z'')]])</f>
        <v>0.57919169011772209</v>
      </c>
      <c r="P33" s="6">
        <f>ABS(Таблица4[[#This Row],[Остатки]]/Таблица4[[#This Row],[ln(|Z''|)]])</f>
        <v>0.52720299608144616</v>
      </c>
    </row>
    <row r="34" spans="1:16" x14ac:dyDescent="0.25">
      <c r="A34">
        <v>33</v>
      </c>
      <c r="B34" s="3">
        <v>38</v>
      </c>
      <c r="C34" s="3">
        <v>342</v>
      </c>
      <c r="D34" s="3">
        <v>-7</v>
      </c>
      <c r="E34" s="3">
        <f>Таблица4[[#This Row],[Z]]+$R$3</f>
        <v>5</v>
      </c>
      <c r="F34" s="6">
        <f>LN(ABS(B34))</f>
        <v>3.6375861597263857</v>
      </c>
      <c r="G34" s="6">
        <f>LN(ABS(C34))</f>
        <v>5.8348107370626048</v>
      </c>
      <c r="H34" s="6">
        <f t="shared" ref="H34:H65" si="4">LN(ABS(E34))</f>
        <v>1.6094379124341003</v>
      </c>
      <c r="I34" s="6">
        <f t="shared" si="1"/>
        <v>21.224626781761842</v>
      </c>
      <c r="J34" s="6">
        <f t="shared" si="2"/>
        <v>5.8544690752092094</v>
      </c>
      <c r="K34" s="6">
        <f t="shared" si="3"/>
        <v>9.3907656121061134</v>
      </c>
      <c r="L34" s="6">
        <f>$R$10+$R$11*Таблица4[[#This Row],[ln(X)]]+$R$12*Таблица4[[#This Row],[ln(Y)]]</f>
        <v>1.8296170676491386</v>
      </c>
      <c r="M34" s="6">
        <f>EXP($R$10)*Таблица4[[#This Row],[X]]^$R$11*Таблица4[[#This Row],[Y]]^$R$12-$R$3</f>
        <v>-5.7685000413469751</v>
      </c>
      <c r="N34" s="6">
        <f>ABS((Таблица4[[#This Row],[Предсказанные значения Z]]-Таблица4[[#This Row],[Z]])/Таблица4[[#This Row],[Z]])</f>
        <v>0.1759285655218607</v>
      </c>
      <c r="O34" s="6">
        <f>ABS(Таблица4[[#This Row],[ln(|Z''|)]]-Таблица4[[#This Row],[Предсказанные значения ln(Z'')]])</f>
        <v>0.22017915521503828</v>
      </c>
      <c r="P34" s="6">
        <f>ABS(Таблица4[[#This Row],[Остатки]]/Таблица4[[#This Row],[ln(|Z''|)]])</f>
        <v>0.13680500099692644</v>
      </c>
    </row>
    <row r="35" spans="1:16" x14ac:dyDescent="0.25">
      <c r="A35">
        <v>34</v>
      </c>
      <c r="B35">
        <v>27</v>
      </c>
      <c r="C35">
        <v>250</v>
      </c>
      <c r="D35">
        <v>-2</v>
      </c>
      <c r="E35">
        <f>Таблица4[[#This Row],[Z]]+$R$3</f>
        <v>10</v>
      </c>
      <c r="F35" s="6">
        <f>LN(ABS(B35))</f>
        <v>3.2958368660043291</v>
      </c>
      <c r="G35" s="6">
        <f>LN(ABS(C35))</f>
        <v>5.521460917862246</v>
      </c>
      <c r="H35" s="6">
        <f t="shared" si="4"/>
        <v>2.3025850929940459</v>
      </c>
      <c r="I35" s="6">
        <f t="shared" si="1"/>
        <v>18.197834447292493</v>
      </c>
      <c r="J35" s="6">
        <f t="shared" si="2"/>
        <v>7.5889448366017831</v>
      </c>
      <c r="K35" s="6">
        <f t="shared" si="3"/>
        <v>12.713633601018829</v>
      </c>
      <c r="L35" s="6">
        <f>$R$10+$R$11*Таблица4[[#This Row],[ln(X)]]+$R$12*Таблица4[[#This Row],[ln(Y)]]</f>
        <v>1.7087656546606809</v>
      </c>
      <c r="M35" s="6">
        <f>EXP($R$10)*Таблица4[[#This Row],[X]]^$R$11*Таблица4[[#This Row],[Y]]^$R$12-$R$3</f>
        <v>-6.4778589599535552</v>
      </c>
      <c r="N35" s="6">
        <f>ABS((Таблица4[[#This Row],[Предсказанные значения Z]]-Таблица4[[#This Row],[Z]])/Таблица4[[#This Row],[Z]])</f>
        <v>2.2389294799767776</v>
      </c>
      <c r="O35" s="6">
        <f>ABS(Таблица4[[#This Row],[ln(|Z''|)]]-Таблица4[[#This Row],[Предсказанные значения ln(Z'')]])</f>
        <v>0.59381943833336504</v>
      </c>
      <c r="P35" s="6">
        <f>ABS(Таблица4[[#This Row],[Остатки]]/Таблица4[[#This Row],[ln(|Z''|)]])</f>
        <v>0.25789250531506874</v>
      </c>
    </row>
    <row r="36" spans="1:16" x14ac:dyDescent="0.25">
      <c r="A36">
        <v>35</v>
      </c>
      <c r="B36" s="3">
        <v>44</v>
      </c>
      <c r="C36" s="3">
        <v>403</v>
      </c>
      <c r="D36" s="3">
        <v>-5</v>
      </c>
      <c r="E36" s="3">
        <f>Таблица4[[#This Row],[Z]]+$R$3</f>
        <v>7</v>
      </c>
      <c r="F36" s="6">
        <f>LN(ABS(B36))</f>
        <v>3.784189633918261</v>
      </c>
      <c r="G36" s="6">
        <f>LN(ABS(C36))</f>
        <v>5.9989365619466826</v>
      </c>
      <c r="H36" s="6">
        <f t="shared" si="4"/>
        <v>1.9459101490553132</v>
      </c>
      <c r="I36" s="6">
        <f t="shared" si="1"/>
        <v>22.701113552251886</v>
      </c>
      <c r="J36" s="6">
        <f t="shared" si="2"/>
        <v>7.3636930145914548</v>
      </c>
      <c r="K36" s="6">
        <f t="shared" si="3"/>
        <v>11.673391539431037</v>
      </c>
      <c r="L36" s="6">
        <f>$R$10+$R$11*Таблица4[[#This Row],[ln(X)]]+$R$12*Таблица4[[#This Row],[ln(Y)]]</f>
        <v>1.6531758124348812</v>
      </c>
      <c r="M36" s="6">
        <f>EXP($R$10)*Таблица4[[#This Row],[X]]^$R$11*Таблица4[[#This Row],[Y]]^$R$12-$R$3</f>
        <v>-6.7764574954791392</v>
      </c>
      <c r="N36" s="6">
        <f>ABS((Таблица4[[#This Row],[Предсказанные значения Z]]-Таблица4[[#This Row],[Z]])/Таблица4[[#This Row],[Z]])</f>
        <v>0.35529149909582786</v>
      </c>
      <c r="O36" s="6">
        <f>ABS(Таблица4[[#This Row],[ln(|Z''|)]]-Таблица4[[#This Row],[Предсказанные значения ln(Z'')]])</f>
        <v>0.29273433662043202</v>
      </c>
      <c r="P36" s="6">
        <f>ABS(Таблица4[[#This Row],[Остатки]]/Таблица4[[#This Row],[ln(|Z''|)]])</f>
        <v>0.15043569034394863</v>
      </c>
    </row>
    <row r="37" spans="1:16" x14ac:dyDescent="0.25">
      <c r="A37">
        <v>36</v>
      </c>
      <c r="B37">
        <v>48</v>
      </c>
      <c r="C37">
        <v>434</v>
      </c>
      <c r="D37">
        <v>-3</v>
      </c>
      <c r="E37">
        <f>Таблица4[[#This Row],[Z]]+$R$3</f>
        <v>9</v>
      </c>
      <c r="F37" s="6">
        <f>LN(ABS(B37))</f>
        <v>3.8712010109078911</v>
      </c>
      <c r="G37" s="6">
        <f>LN(ABS(C37))</f>
        <v>6.0730445341004051</v>
      </c>
      <c r="H37" s="6">
        <f t="shared" si="4"/>
        <v>2.1972245773362196</v>
      </c>
      <c r="I37" s="6">
        <f t="shared" si="1"/>
        <v>23.509976139698132</v>
      </c>
      <c r="J37" s="6">
        <f t="shared" si="2"/>
        <v>8.5058980049756379</v>
      </c>
      <c r="K37" s="6">
        <f t="shared" si="3"/>
        <v>13.343842709582802</v>
      </c>
      <c r="L37" s="6">
        <f>$R$10+$R$11*Таблица4[[#This Row],[ln(X)]]+$R$12*Таблица4[[#This Row],[ln(Y)]]</f>
        <v>1.7275402361567842</v>
      </c>
      <c r="M37" s="6">
        <f>EXP($R$10)*Таблица4[[#This Row],[X]]^$R$11*Таблица4[[#This Row],[Y]]^$R$12-$R$3</f>
        <v>-6.3732037178765983</v>
      </c>
      <c r="N37" s="6">
        <f>ABS((Таблица4[[#This Row],[Предсказанные значения Z]]-Таблица4[[#This Row],[Z]])/Таблица4[[#This Row],[Z]])</f>
        <v>1.1244012392921994</v>
      </c>
      <c r="O37" s="6">
        <f>ABS(Таблица4[[#This Row],[ln(|Z''|)]]-Таблица4[[#This Row],[Предсказанные значения ln(Z'')]])</f>
        <v>0.46968434117943536</v>
      </c>
      <c r="P37" s="6">
        <f>ABS(Таблица4[[#This Row],[Остатки]]/Таблица4[[#This Row],[ln(|Z''|)]])</f>
        <v>0.21376255573695241</v>
      </c>
    </row>
    <row r="38" spans="1:16" x14ac:dyDescent="0.25">
      <c r="A38">
        <v>37</v>
      </c>
      <c r="B38" s="3">
        <v>35</v>
      </c>
      <c r="C38" s="3">
        <v>320</v>
      </c>
      <c r="D38" s="3">
        <v>-6</v>
      </c>
      <c r="E38" s="3">
        <f>Таблица4[[#This Row],[Z]]+$R$3</f>
        <v>6</v>
      </c>
      <c r="F38" s="6">
        <f>LN(ABS(B38))</f>
        <v>3.5553480614894135</v>
      </c>
      <c r="G38" s="6">
        <f>LN(ABS(C38))</f>
        <v>5.768320995793772</v>
      </c>
      <c r="H38" s="6">
        <f t="shared" si="4"/>
        <v>1.791759469228055</v>
      </c>
      <c r="I38" s="6">
        <f t="shared" si="1"/>
        <v>20.508388870444072</v>
      </c>
      <c r="J38" s="6">
        <f t="shared" si="2"/>
        <v>6.3703285555752656</v>
      </c>
      <c r="K38" s="6">
        <f t="shared" si="3"/>
        <v>10.335443765760495</v>
      </c>
      <c r="L38" s="6">
        <f>$R$10+$R$11*Таблица4[[#This Row],[ln(X)]]+$R$12*Таблица4[[#This Row],[ln(Y)]]</f>
        <v>1.7320288023465196</v>
      </c>
      <c r="M38" s="6">
        <f>EXP($R$10)*Таблица4[[#This Row],[X]]^$R$11*Таблица4[[#This Row],[Y]]^$R$12-$R$3</f>
        <v>-6.3478907032562235</v>
      </c>
      <c r="N38" s="6">
        <f>ABS((Таблица4[[#This Row],[Предсказанные значения Z]]-Таблица4[[#This Row],[Z]])/Таблица4[[#This Row],[Z]])</f>
        <v>5.7981783876037252E-2</v>
      </c>
      <c r="O38" s="6">
        <f>ABS(Таблица4[[#This Row],[ln(|Z''|)]]-Таблица4[[#This Row],[Предсказанные значения ln(Z'')]])</f>
        <v>5.9730666881535388E-2</v>
      </c>
      <c r="P38" s="6">
        <f>ABS(Таблица4[[#This Row],[Остатки]]/Таблица4[[#This Row],[ln(|Z''|)]])</f>
        <v>3.3336319917577552E-2</v>
      </c>
    </row>
    <row r="39" spans="1:16" x14ac:dyDescent="0.25">
      <c r="A39">
        <v>38</v>
      </c>
      <c r="B39">
        <v>35</v>
      </c>
      <c r="C39">
        <v>318</v>
      </c>
      <c r="D39">
        <v>-10</v>
      </c>
      <c r="E39">
        <f>Таблица4[[#This Row],[Z]]+$R$3</f>
        <v>2</v>
      </c>
      <c r="F39" s="6">
        <f>LN(ABS(B39))</f>
        <v>3.5553480614894135</v>
      </c>
      <c r="G39" s="6">
        <f>LN(ABS(C39))</f>
        <v>5.7620513827801769</v>
      </c>
      <c r="H39" s="6">
        <f t="shared" si="4"/>
        <v>0.69314718055994529</v>
      </c>
      <c r="I39" s="6">
        <f t="shared" si="1"/>
        <v>20.486098213969896</v>
      </c>
      <c r="J39" s="6">
        <f t="shared" si="2"/>
        <v>2.4643794847306539</v>
      </c>
      <c r="K39" s="6">
        <f t="shared" si="3"/>
        <v>3.9939496702156139</v>
      </c>
      <c r="L39" s="6">
        <f>$R$10+$R$11*Таблица4[[#This Row],[ln(X)]]+$R$12*Таблица4[[#This Row],[ln(Y)]]</f>
        <v>1.7802107783560004</v>
      </c>
      <c r="M39" s="6">
        <f>EXP($R$10)*Таблица4[[#This Row],[X]]^$R$11*Таблица4[[#This Row],[Y]]^$R$12-$R$3</f>
        <v>-6.0688935642879551</v>
      </c>
      <c r="N39" s="6">
        <f>ABS((Таблица4[[#This Row],[Предсказанные значения Z]]-Таблица4[[#This Row],[Z]])/Таблица4[[#This Row],[Z]])</f>
        <v>0.39311064357120451</v>
      </c>
      <c r="O39" s="6">
        <f>ABS(Таблица4[[#This Row],[ln(|Z''|)]]-Таблица4[[#This Row],[Предсказанные значения ln(Z'')]])</f>
        <v>1.087063597796055</v>
      </c>
      <c r="P39" s="6">
        <f>ABS(Таблица4[[#This Row],[Остатки]]/Таблица4[[#This Row],[ln(|Z''|)]])</f>
        <v>1.5683012616712833</v>
      </c>
    </row>
    <row r="40" spans="1:16" x14ac:dyDescent="0.25">
      <c r="A40">
        <v>39</v>
      </c>
      <c r="B40" s="3">
        <v>28</v>
      </c>
      <c r="C40" s="3">
        <v>256</v>
      </c>
      <c r="D40" s="3">
        <v>-4</v>
      </c>
      <c r="E40" s="3">
        <f>Таблица4[[#This Row],[Z]]+$R$3</f>
        <v>8</v>
      </c>
      <c r="F40" s="6">
        <f>LN(ABS(B40))</f>
        <v>3.3322045101752038</v>
      </c>
      <c r="G40" s="6">
        <f>LN(ABS(C40))</f>
        <v>5.5451774444795623</v>
      </c>
      <c r="H40" s="6">
        <f t="shared" si="4"/>
        <v>2.0794415416798357</v>
      </c>
      <c r="I40" s="6">
        <f t="shared" si="1"/>
        <v>18.47766529021661</v>
      </c>
      <c r="J40" s="6">
        <f t="shared" si="2"/>
        <v>6.9291244838312274</v>
      </c>
      <c r="K40" s="6">
        <f t="shared" si="3"/>
        <v>11.530872334036832</v>
      </c>
      <c r="L40" s="6">
        <f>$R$10+$R$11*Таблица4[[#This Row],[ln(X)]]+$R$12*Таблица4[[#This Row],[ln(Y)]]</f>
        <v>1.7956247144710744</v>
      </c>
      <c r="M40" s="6">
        <f>EXP($R$10)*Таблица4[[#This Row],[X]]^$R$11*Таблица4[[#This Row],[Y]]^$R$12-$R$3</f>
        <v>-5.9767636503764638</v>
      </c>
      <c r="N40" s="6">
        <f>ABS((Таблица4[[#This Row],[Предсказанные значения Z]]-Таблица4[[#This Row],[Z]])/Таблица4[[#This Row],[Z]])</f>
        <v>0.49419091259411596</v>
      </c>
      <c r="O40" s="6">
        <f>ABS(Таблица4[[#This Row],[ln(|Z''|)]]-Таблица4[[#This Row],[Предсказанные значения ln(Z'')]])</f>
        <v>0.28381682720876134</v>
      </c>
      <c r="P40" s="6">
        <f>ABS(Таблица4[[#This Row],[Остатки]]/Таблица4[[#This Row],[ln(|Z''|)]])</f>
        <v>0.13648704304497328</v>
      </c>
    </row>
    <row r="41" spans="1:16" x14ac:dyDescent="0.25">
      <c r="A41">
        <v>40</v>
      </c>
      <c r="B41">
        <v>39</v>
      </c>
      <c r="C41">
        <v>358</v>
      </c>
      <c r="D41">
        <v>-7</v>
      </c>
      <c r="E41">
        <f>Таблица4[[#This Row],[Z]]+$R$3</f>
        <v>5</v>
      </c>
      <c r="F41" s="6">
        <f>LN(ABS(B41))</f>
        <v>3.6635616461296463</v>
      </c>
      <c r="G41" s="6">
        <f>LN(ABS(C41))</f>
        <v>5.8805329864007003</v>
      </c>
      <c r="H41" s="6">
        <f t="shared" si="4"/>
        <v>1.6094379124341003</v>
      </c>
      <c r="I41" s="6">
        <f t="shared" si="1"/>
        <v>21.543695107777836</v>
      </c>
      <c r="J41" s="6">
        <f t="shared" si="2"/>
        <v>5.8962750078205337</v>
      </c>
      <c r="K41" s="6">
        <f t="shared" si="3"/>
        <v>9.4643527336326088</v>
      </c>
      <c r="L41" s="6">
        <f>$R$10+$R$11*Таблица4[[#This Row],[ln(X)]]+$R$12*Таблица4[[#This Row],[ln(Y)]]</f>
        <v>1.670460180870009</v>
      </c>
      <c r="M41" s="6">
        <f>EXP($R$10)*Таблица4[[#This Row],[X]]^$R$11*Таблица4[[#This Row],[Y]]^$R$12-$R$3</f>
        <v>-6.6853870822646089</v>
      </c>
      <c r="N41" s="6">
        <f>ABS((Таблица4[[#This Row],[Предсказанные значения Z]]-Таблица4[[#This Row],[Z]])/Таблица4[[#This Row],[Z]])</f>
        <v>4.4944702533627305E-2</v>
      </c>
      <c r="O41" s="6">
        <f>ABS(Таблица4[[#This Row],[ln(|Z''|)]]-Таблица4[[#This Row],[Предсказанные значения ln(Z'')]])</f>
        <v>6.1022268435908744E-2</v>
      </c>
      <c r="P41" s="6">
        <f>ABS(Таблица4[[#This Row],[Остатки]]/Таблица4[[#This Row],[ln(|Z''|)]])</f>
        <v>3.7915267165304425E-2</v>
      </c>
    </row>
    <row r="42" spans="1:16" x14ac:dyDescent="0.25">
      <c r="A42">
        <v>41</v>
      </c>
      <c r="B42" s="3">
        <v>38</v>
      </c>
      <c r="C42" s="3">
        <v>347</v>
      </c>
      <c r="D42" s="3">
        <v>-2</v>
      </c>
      <c r="E42" s="3">
        <f>Таблица4[[#This Row],[Z]]+$R$3</f>
        <v>10</v>
      </c>
      <c r="F42" s="6">
        <f>LN(ABS(B42))</f>
        <v>3.6375861597263857</v>
      </c>
      <c r="G42" s="6">
        <f>LN(ABS(C42))</f>
        <v>5.8493247799468593</v>
      </c>
      <c r="H42" s="6">
        <f t="shared" si="4"/>
        <v>2.3025850929940459</v>
      </c>
      <c r="I42" s="6">
        <f t="shared" si="1"/>
        <v>21.277422863279281</v>
      </c>
      <c r="J42" s="6">
        <f t="shared" si="2"/>
        <v>8.3758516658674349</v>
      </c>
      <c r="K42" s="6">
        <f t="shared" si="3"/>
        <v>13.468568042386316</v>
      </c>
      <c r="L42" s="6">
        <f>$R$10+$R$11*Таблица4[[#This Row],[ln(X)]]+$R$12*Таблица4[[#This Row],[ln(Y)]]</f>
        <v>1.7180766480836454</v>
      </c>
      <c r="M42" s="6">
        <f>EXP($R$10)*Таблица4[[#This Row],[X]]^$R$11*Таблица4[[#This Row],[Y]]^$R$12-$R$3</f>
        <v>-6.4262022264923342</v>
      </c>
      <c r="N42" s="6">
        <f>ABS((Таблица4[[#This Row],[Предсказанные значения Z]]-Таблица4[[#This Row],[Z]])/Таблица4[[#This Row],[Z]])</f>
        <v>2.2131011132461671</v>
      </c>
      <c r="O42" s="6">
        <f>ABS(Таблица4[[#This Row],[ln(|Z''|)]]-Таблица4[[#This Row],[Предсказанные значения ln(Z'')]])</f>
        <v>0.58450844491040055</v>
      </c>
      <c r="P42" s="6">
        <f>ABS(Таблица4[[#This Row],[Остатки]]/Таблица4[[#This Row],[ln(|Z''|)]])</f>
        <v>0.25384879225043777</v>
      </c>
    </row>
    <row r="43" spans="1:16" x14ac:dyDescent="0.25">
      <c r="A43">
        <v>42</v>
      </c>
      <c r="B43">
        <v>35</v>
      </c>
      <c r="C43">
        <v>318</v>
      </c>
      <c r="D43">
        <v>-4</v>
      </c>
      <c r="E43">
        <f>Таблица4[[#This Row],[Z]]+$R$3</f>
        <v>8</v>
      </c>
      <c r="F43" s="6">
        <f>LN(ABS(B43))</f>
        <v>3.5553480614894135</v>
      </c>
      <c r="G43" s="6">
        <f>LN(ABS(C43))</f>
        <v>5.7620513827801769</v>
      </c>
      <c r="H43" s="6">
        <f t="shared" si="4"/>
        <v>2.0794415416798357</v>
      </c>
      <c r="I43" s="6">
        <f t="shared" si="1"/>
        <v>20.486098213969896</v>
      </c>
      <c r="J43" s="6">
        <f t="shared" si="2"/>
        <v>7.3931384541919618</v>
      </c>
      <c r="K43" s="6">
        <f t="shared" si="3"/>
        <v>11.98184901064684</v>
      </c>
      <c r="L43" s="6">
        <f>$R$10+$R$11*Таблица4[[#This Row],[ln(X)]]+$R$12*Таблица4[[#This Row],[ln(Y)]]</f>
        <v>1.7802107783560004</v>
      </c>
      <c r="M43" s="6">
        <f>EXP($R$10)*Таблица4[[#This Row],[X]]^$R$11*Таблица4[[#This Row],[Y]]^$R$12-$R$3</f>
        <v>-6.0688935642879551</v>
      </c>
      <c r="N43" s="6">
        <f>ABS((Таблица4[[#This Row],[Предсказанные значения Z]]-Таблица4[[#This Row],[Z]])/Таблица4[[#This Row],[Z]])</f>
        <v>0.51722339107198878</v>
      </c>
      <c r="O43" s="6">
        <f>ABS(Таблица4[[#This Row],[ln(|Z''|)]]-Таблица4[[#This Row],[Предсказанные значения ln(Z'')]])</f>
        <v>0.29923076332383536</v>
      </c>
      <c r="P43" s="6">
        <f>ABS(Таблица4[[#This Row],[Остатки]]/Таблица4[[#This Row],[ln(|Z''|)]])</f>
        <v>0.14389957944290546</v>
      </c>
    </row>
    <row r="44" spans="1:16" x14ac:dyDescent="0.25">
      <c r="A44">
        <v>43</v>
      </c>
      <c r="B44" s="3">
        <v>40</v>
      </c>
      <c r="C44" s="3">
        <v>369</v>
      </c>
      <c r="D44" s="3">
        <v>-10</v>
      </c>
      <c r="E44" s="3">
        <f>Таблица4[[#This Row],[Z]]+$R$3</f>
        <v>2</v>
      </c>
      <c r="F44" s="6">
        <f>LN(ABS(B44))</f>
        <v>3.6888794541139363</v>
      </c>
      <c r="G44" s="6">
        <f>LN(ABS(C44))</f>
        <v>5.9107966440405271</v>
      </c>
      <c r="H44" s="6">
        <f t="shared" si="4"/>
        <v>0.69314718055994529</v>
      </c>
      <c r="I44" s="6">
        <f t="shared" si="1"/>
        <v>21.804216297646708</v>
      </c>
      <c r="J44" s="6">
        <f t="shared" si="2"/>
        <v>2.5569363930445848</v>
      </c>
      <c r="K44" s="6">
        <f t="shared" si="3"/>
        <v>4.0970520286798777</v>
      </c>
      <c r="L44" s="6">
        <f>$R$10+$R$11*Таблица4[[#This Row],[ln(X)]]+$R$12*Таблица4[[#This Row],[ln(Y)]]</f>
        <v>1.6252357509916777</v>
      </c>
      <c r="M44" s="6">
        <f>EXP($R$10)*Таблица4[[#This Row],[X]]^$R$11*Таблица4[[#This Row],[Y]]^$R$12-$R$3</f>
        <v>-6.9203835793591253</v>
      </c>
      <c r="N44" s="6">
        <f>ABS((Таблица4[[#This Row],[Предсказанные значения Z]]-Таблица4[[#This Row],[Z]])/Таблица4[[#This Row],[Z]])</f>
        <v>0.30796164206408749</v>
      </c>
      <c r="O44" s="6">
        <f>ABS(Таблица4[[#This Row],[ln(|Z''|)]]-Таблица4[[#This Row],[Предсказанные значения ln(Z'')]])</f>
        <v>0.93208857043173243</v>
      </c>
      <c r="P44" s="6">
        <f>ABS(Таблица4[[#This Row],[Остатки]]/Таблица4[[#This Row],[ln(|Z''|)]])</f>
        <v>1.3447195582311438</v>
      </c>
    </row>
    <row r="45" spans="1:16" x14ac:dyDescent="0.25">
      <c r="A45">
        <v>44</v>
      </c>
      <c r="B45">
        <v>44</v>
      </c>
      <c r="C45">
        <v>400</v>
      </c>
      <c r="D45">
        <v>-10</v>
      </c>
      <c r="E45">
        <f>Таблица4[[#This Row],[Z]]+$R$3</f>
        <v>2</v>
      </c>
      <c r="F45" s="6">
        <f>LN(ABS(B45))</f>
        <v>3.784189633918261</v>
      </c>
      <c r="G45" s="6">
        <f>LN(ABS(C45))</f>
        <v>5.9914645471079817</v>
      </c>
      <c r="H45" s="6">
        <f t="shared" si="4"/>
        <v>0.69314718055994529</v>
      </c>
      <c r="I45" s="6">
        <f t="shared" si="1"/>
        <v>22.672838031154793</v>
      </c>
      <c r="J45" s="6">
        <f t="shared" si="2"/>
        <v>2.6230003754546143</v>
      </c>
      <c r="K45" s="6">
        <f t="shared" si="3"/>
        <v>4.1529667582527674</v>
      </c>
      <c r="L45" s="6">
        <f>$R$10+$R$11*Таблица4[[#This Row],[ln(X)]]+$R$12*Таблица4[[#This Row],[ln(Y)]]</f>
        <v>1.7105982464702976</v>
      </c>
      <c r="M45" s="6">
        <f>EXP($R$10)*Таблица4[[#This Row],[X]]^$R$11*Таблица4[[#This Row],[Y]]^$R$12-$R$3</f>
        <v>-6.4677298510858359</v>
      </c>
      <c r="N45" s="6">
        <f>ABS((Таблица4[[#This Row],[Предсказанные значения Z]]-Таблица4[[#This Row],[Z]])/Таблица4[[#This Row],[Z]])</f>
        <v>0.35322701489141639</v>
      </c>
      <c r="O45" s="6">
        <f>ABS(Таблица4[[#This Row],[ln(|Z''|)]]-Таблица4[[#This Row],[Предсказанные значения ln(Z'')]])</f>
        <v>1.0174510659103522</v>
      </c>
      <c r="P45" s="6">
        <f>ABS(Таблица4[[#This Row],[Остатки]]/Таблица4[[#This Row],[ln(|Z''|)]])</f>
        <v>1.4678716071360549</v>
      </c>
    </row>
    <row r="46" spans="1:16" x14ac:dyDescent="0.25">
      <c r="A46">
        <v>45</v>
      </c>
      <c r="B46" s="3">
        <v>30</v>
      </c>
      <c r="C46" s="3">
        <v>277</v>
      </c>
      <c r="D46" s="3">
        <v>-9</v>
      </c>
      <c r="E46" s="3">
        <f>Таблица4[[#This Row],[Z]]+$R$3</f>
        <v>3</v>
      </c>
      <c r="F46" s="6">
        <f>LN(ABS(B46))</f>
        <v>3.4011973816621555</v>
      </c>
      <c r="G46" s="6">
        <f>LN(ABS(C46))</f>
        <v>5.6240175061873385</v>
      </c>
      <c r="H46" s="6">
        <f t="shared" si="4"/>
        <v>1.0986122886681098</v>
      </c>
      <c r="I46" s="6">
        <f t="shared" si="1"/>
        <v>19.1283936164665</v>
      </c>
      <c r="J46" s="6">
        <f t="shared" si="2"/>
        <v>3.7365972396798433</v>
      </c>
      <c r="K46" s="6">
        <f t="shared" si="3"/>
        <v>6.1786147439819876</v>
      </c>
      <c r="L46" s="6">
        <f>$R$10+$R$11*Таблица4[[#This Row],[ln(X)]]+$R$12*Таблица4[[#This Row],[ln(Y)]]</f>
        <v>1.7002860892502554</v>
      </c>
      <c r="M46" s="6">
        <f>EXP($R$10)*Таблица4[[#This Row],[X]]^$R$11*Таблица4[[#This Row],[Y]]^$R$12-$R$3</f>
        <v>-6.5244863467329335</v>
      </c>
      <c r="N46" s="6">
        <f>ABS((Таблица4[[#This Row],[Предсказанные значения Z]]-Таблица4[[#This Row],[Z]])/Таблица4[[#This Row],[Z]])</f>
        <v>0.2750570725852296</v>
      </c>
      <c r="O46" s="6">
        <f>ABS(Таблица4[[#This Row],[ln(|Z''|)]]-Таблица4[[#This Row],[Предсказанные значения ln(Z'')]])</f>
        <v>0.60167380058214559</v>
      </c>
      <c r="P46" s="6">
        <f>ABS(Таблица4[[#This Row],[Остатки]]/Таблица4[[#This Row],[ln(|Z''|)]])</f>
        <v>0.54766709492352217</v>
      </c>
    </row>
    <row r="47" spans="1:16" x14ac:dyDescent="0.25">
      <c r="A47">
        <v>46</v>
      </c>
      <c r="B47">
        <v>43</v>
      </c>
      <c r="C47">
        <v>395</v>
      </c>
      <c r="D47">
        <v>-10</v>
      </c>
      <c r="E47">
        <f>Таблица4[[#This Row],[Z]]+$R$3</f>
        <v>2</v>
      </c>
      <c r="F47" s="6">
        <f>LN(ABS(B47))</f>
        <v>3.7612001156935624</v>
      </c>
      <c r="G47" s="6">
        <f>LN(ABS(C47))</f>
        <v>5.978885764901122</v>
      </c>
      <c r="H47" s="6">
        <f t="shared" si="4"/>
        <v>0.69314718055994529</v>
      </c>
      <c r="I47" s="6">
        <f t="shared" si="1"/>
        <v>22.487785830664695</v>
      </c>
      <c r="J47" s="6">
        <f t="shared" si="2"/>
        <v>2.6070652557147329</v>
      </c>
      <c r="K47" s="6">
        <f t="shared" si="3"/>
        <v>4.1442478108312049</v>
      </c>
      <c r="L47" s="6">
        <f>$R$10+$R$11*Таблица4[[#This Row],[ln(X)]]+$R$12*Таблица4[[#This Row],[ln(Y)]]</f>
        <v>1.6371437528672388</v>
      </c>
      <c r="M47" s="6">
        <f>EXP($R$10)*Таблица4[[#This Row],[X]]^$R$11*Таблица4[[#This Row],[Y]]^$R$12-$R$3</f>
        <v>-6.8595339175928149</v>
      </c>
      <c r="N47" s="6">
        <f>ABS((Таблица4[[#This Row],[Предсказанные значения Z]]-Таблица4[[#This Row],[Z]])/Таблица4[[#This Row],[Z]])</f>
        <v>0.31404660824071851</v>
      </c>
      <c r="O47" s="6">
        <f>ABS(Таблица4[[#This Row],[ln(|Z''|)]]-Таблица4[[#This Row],[Предсказанные значения ln(Z'')]])</f>
        <v>0.9439965723072935</v>
      </c>
      <c r="P47" s="6">
        <f>ABS(Таблица4[[#This Row],[Остатки]]/Таблица4[[#This Row],[ln(|Z''|)]])</f>
        <v>1.3618991734839121</v>
      </c>
    </row>
    <row r="48" spans="1:16" x14ac:dyDescent="0.25">
      <c r="A48">
        <v>47</v>
      </c>
      <c r="B48" s="3">
        <v>43</v>
      </c>
      <c r="C48" s="3">
        <v>392</v>
      </c>
      <c r="D48" s="3">
        <v>-10</v>
      </c>
      <c r="E48" s="3">
        <f>Таблица4[[#This Row],[Z]]+$R$3</f>
        <v>2</v>
      </c>
      <c r="F48" s="6">
        <f>LN(ABS(B48))</f>
        <v>3.7612001156935624</v>
      </c>
      <c r="G48" s="6">
        <f>LN(ABS(C48))</f>
        <v>5.9712618397904622</v>
      </c>
      <c r="H48" s="6">
        <f t="shared" si="4"/>
        <v>0.69314718055994529</v>
      </c>
      <c r="I48" s="6">
        <f t="shared" si="1"/>
        <v>22.45911072265644</v>
      </c>
      <c r="J48" s="6">
        <f t="shared" si="2"/>
        <v>2.6070652557147329</v>
      </c>
      <c r="K48" s="6">
        <f t="shared" si="3"/>
        <v>4.138963308635951</v>
      </c>
      <c r="L48" s="6">
        <f>$R$10+$R$11*Таблица4[[#This Row],[ln(X)]]+$R$12*Таблица4[[#This Row],[ln(Y)]]</f>
        <v>1.6957336173426611</v>
      </c>
      <c r="M48" s="6">
        <f>EXP($R$10)*Таблица4[[#This Row],[X]]^$R$11*Таблица4[[#This Row],[Y]]^$R$12-$R$3</f>
        <v>-6.549356814812092</v>
      </c>
      <c r="N48" s="6">
        <f>ABS((Таблица4[[#This Row],[Предсказанные значения Z]]-Таблица4[[#This Row],[Z]])/Таблица4[[#This Row],[Z]])</f>
        <v>0.34506431851879082</v>
      </c>
      <c r="O48" s="6">
        <f>ABS(Таблица4[[#This Row],[ln(|Z''|)]]-Таблица4[[#This Row],[Предсказанные значения ln(Z'')]])</f>
        <v>1.0025864367827158</v>
      </c>
      <c r="P48" s="6">
        <f>ABS(Таблица4[[#This Row],[Остатки]]/Таблица4[[#This Row],[ln(|Z''|)]])</f>
        <v>1.4464264804089604</v>
      </c>
    </row>
    <row r="49" spans="1:16" x14ac:dyDescent="0.25">
      <c r="A49">
        <v>48</v>
      </c>
      <c r="B49">
        <v>27</v>
      </c>
      <c r="C49">
        <v>245</v>
      </c>
      <c r="D49">
        <v>-7</v>
      </c>
      <c r="E49">
        <f>Таблица4[[#This Row],[Z]]+$R$3</f>
        <v>5</v>
      </c>
      <c r="F49" s="6">
        <f>LN(ABS(B49))</f>
        <v>3.2958368660043291</v>
      </c>
      <c r="G49" s="6">
        <f>LN(ABS(C49))</f>
        <v>5.5012582105447274</v>
      </c>
      <c r="H49" s="6">
        <f t="shared" si="4"/>
        <v>1.6094379124341003</v>
      </c>
      <c r="I49" s="6">
        <f t="shared" si="1"/>
        <v>18.131249619722318</v>
      </c>
      <c r="J49" s="6">
        <f t="shared" si="2"/>
        <v>5.304444805345355</v>
      </c>
      <c r="K49" s="6">
        <f t="shared" si="3"/>
        <v>8.8539335301400595</v>
      </c>
      <c r="L49" s="6">
        <f>$R$10+$R$11*Таблица4[[#This Row],[ln(X)]]+$R$12*Таблица4[[#This Row],[ln(Y)]]</f>
        <v>1.8640234603958135</v>
      </c>
      <c r="M49" s="6">
        <f>EXP($R$10)*Таблица4[[#This Row],[X]]^$R$11*Таблица4[[#This Row],[Y]]^$R$12-$R$3</f>
        <v>-5.5503655137995622</v>
      </c>
      <c r="N49" s="6">
        <f>ABS((Таблица4[[#This Row],[Предсказанные значения Z]]-Таблица4[[#This Row],[Z]])/Таблица4[[#This Row],[Z]])</f>
        <v>0.20709064088577683</v>
      </c>
      <c r="O49" s="6">
        <f>ABS(Таблица4[[#This Row],[ln(|Z''|)]]-Таблица4[[#This Row],[Предсказанные значения ln(Z'')]])</f>
        <v>0.25458554796171318</v>
      </c>
      <c r="P49" s="6">
        <f>ABS(Таблица4[[#This Row],[Остатки]]/Таблица4[[#This Row],[ln(|Z''|)]])</f>
        <v>0.15818289478261399</v>
      </c>
    </row>
    <row r="50" spans="1:16" x14ac:dyDescent="0.25">
      <c r="A50">
        <v>49</v>
      </c>
      <c r="B50" s="3">
        <v>49</v>
      </c>
      <c r="C50" s="3">
        <v>445</v>
      </c>
      <c r="D50" s="3">
        <v>1</v>
      </c>
      <c r="E50" s="3">
        <f>Таблица4[[#This Row],[Z]]+$R$3</f>
        <v>13</v>
      </c>
      <c r="F50" s="6">
        <f>LN(ABS(B50))</f>
        <v>3.8918202981106265</v>
      </c>
      <c r="G50" s="6">
        <f>LN(ABS(C50))</f>
        <v>6.0980742821662401</v>
      </c>
      <c r="H50" s="6">
        <f t="shared" si="4"/>
        <v>2.5649493574615367</v>
      </c>
      <c r="I50" s="6">
        <f t="shared" si="1"/>
        <v>23.73260927072096</v>
      </c>
      <c r="J50" s="6">
        <f t="shared" si="2"/>
        <v>9.9823219729946171</v>
      </c>
      <c r="K50" s="6">
        <f t="shared" si="3"/>
        <v>15.64125171179502</v>
      </c>
      <c r="L50" s="6">
        <f>$R$10+$R$11*Таблица4[[#This Row],[ln(X)]]+$R$12*Таблица4[[#This Row],[ln(Y)]]</f>
        <v>1.6877693475710842</v>
      </c>
      <c r="M50" s="6">
        <f>EXP($R$10)*Таблица4[[#This Row],[X]]^$R$11*Таблица4[[#This Row],[Y]]^$R$12-$R$3</f>
        <v>-6.5925947995331349</v>
      </c>
      <c r="N50" s="6">
        <f>ABS((Таблица4[[#This Row],[Предсказанные значения Z]]-Таблица4[[#This Row],[Z]])/Таблица4[[#This Row],[Z]])</f>
        <v>7.5925947995331349</v>
      </c>
      <c r="O50" s="6">
        <f>ABS(Таблица4[[#This Row],[ln(|Z''|)]]-Таблица4[[#This Row],[Предсказанные значения ln(Z'')]])</f>
        <v>0.87718000989045253</v>
      </c>
      <c r="P50" s="6">
        <f>ABS(Таблица4[[#This Row],[Остатки]]/Таблица4[[#This Row],[ln(|Z''|)]])</f>
        <v>0.34198726276552088</v>
      </c>
    </row>
    <row r="51" spans="1:16" x14ac:dyDescent="0.25">
      <c r="A51">
        <v>50</v>
      </c>
      <c r="B51">
        <v>35</v>
      </c>
      <c r="C51">
        <v>323</v>
      </c>
      <c r="D51">
        <v>2</v>
      </c>
      <c r="E51">
        <f>Таблица4[[#This Row],[Z]]+$R$3</f>
        <v>14</v>
      </c>
      <c r="F51" s="6">
        <f>LN(ABS(B51))</f>
        <v>3.5553480614894135</v>
      </c>
      <c r="G51" s="6">
        <f>LN(ABS(C51))</f>
        <v>5.7776523232226564</v>
      </c>
      <c r="H51" s="6">
        <f t="shared" si="4"/>
        <v>2.6390573296152584</v>
      </c>
      <c r="I51" s="6">
        <f t="shared" si="1"/>
        <v>20.54156498732948</v>
      </c>
      <c r="J51" s="6">
        <f t="shared" si="2"/>
        <v>9.382767361007037</v>
      </c>
      <c r="K51" s="6">
        <f t="shared" si="3"/>
        <v>15.247555711569378</v>
      </c>
      <c r="L51" s="6">
        <f>$R$10+$R$11*Таблица4[[#This Row],[ln(X)]]+$R$12*Таблица4[[#This Row],[ln(Y)]]</f>
        <v>1.6603175510555417</v>
      </c>
      <c r="M51" s="6">
        <f>EXP($R$10)*Таблица4[[#This Row],[X]]^$R$11*Таблица4[[#This Row],[Y]]^$R$12-$R$3</f>
        <v>-6.7390187906439722</v>
      </c>
      <c r="N51" s="6">
        <f>ABS((Таблица4[[#This Row],[Предсказанные значения Z]]-Таблица4[[#This Row],[Z]])/Таблица4[[#This Row],[Z]])</f>
        <v>4.3695093953219857</v>
      </c>
      <c r="O51" s="6">
        <f>ABS(Таблица4[[#This Row],[ln(|Z''|)]]-Таблица4[[#This Row],[Предсказанные значения ln(Z'')]])</f>
        <v>0.97873977855971672</v>
      </c>
      <c r="P51" s="6">
        <f>ABS(Таблица4[[#This Row],[Остатки]]/Таблица4[[#This Row],[ln(|Z''|)]])</f>
        <v>0.37086719093836612</v>
      </c>
    </row>
    <row r="52" spans="1:16" x14ac:dyDescent="0.25">
      <c r="A52">
        <v>51</v>
      </c>
      <c r="B52" s="3">
        <v>36</v>
      </c>
      <c r="C52" s="3">
        <v>331</v>
      </c>
      <c r="D52" s="3">
        <v>-10</v>
      </c>
      <c r="E52" s="3">
        <f>Таблица4[[#This Row],[Z]]+$R$3</f>
        <v>2</v>
      </c>
      <c r="F52" s="6">
        <f>LN(ABS(B52))</f>
        <v>3.5835189384561099</v>
      </c>
      <c r="G52" s="6">
        <f>LN(ABS(C52))</f>
        <v>5.8021183753770629</v>
      </c>
      <c r="H52" s="6">
        <f t="shared" si="4"/>
        <v>0.69314718055994529</v>
      </c>
      <c r="I52" s="6">
        <f t="shared" si="1"/>
        <v>20.7920010813279</v>
      </c>
      <c r="J52" s="6">
        <f t="shared" si="2"/>
        <v>2.4839060486740205</v>
      </c>
      <c r="K52" s="6">
        <f t="shared" si="3"/>
        <v>4.0217219931676613</v>
      </c>
      <c r="L52" s="6">
        <f>$R$10+$R$11*Таблица4[[#This Row],[ln(X)]]+$R$12*Таблица4[[#This Row],[ln(Y)]]</f>
        <v>1.6807604298024827</v>
      </c>
      <c r="M52" s="6">
        <f>EXP($R$10)*Таблица4[[#This Row],[X]]^$R$11*Таблица4[[#This Row],[Y]]^$R$12-$R$3</f>
        <v>-6.630362348491678</v>
      </c>
      <c r="N52" s="6">
        <f>ABS((Таблица4[[#This Row],[Предсказанные значения Z]]-Таблица4[[#This Row],[Z]])/Таблица4[[#This Row],[Z]])</f>
        <v>0.33696376515083221</v>
      </c>
      <c r="O52" s="6">
        <f>ABS(Таблица4[[#This Row],[ln(|Z''|)]]-Таблица4[[#This Row],[Предсказанные значения ln(Z'')]])</f>
        <v>0.98761324924253746</v>
      </c>
      <c r="P52" s="6">
        <f>ABS(Таблица4[[#This Row],[Остатки]]/Таблица4[[#This Row],[ln(|Z''|)]])</f>
        <v>1.4248247369984446</v>
      </c>
    </row>
    <row r="53" spans="1:16" x14ac:dyDescent="0.25">
      <c r="A53">
        <v>52</v>
      </c>
      <c r="B53">
        <v>15</v>
      </c>
      <c r="C53">
        <v>140</v>
      </c>
      <c r="D53">
        <v>-2</v>
      </c>
      <c r="E53">
        <f>Таблица4[[#This Row],[Z]]+$R$3</f>
        <v>10</v>
      </c>
      <c r="F53" s="6">
        <f>LN(ABS(B53))</f>
        <v>2.7080502011022101</v>
      </c>
      <c r="G53" s="6">
        <f>LN(ABS(C53))</f>
        <v>4.9416424226093039</v>
      </c>
      <c r="H53" s="6">
        <f t="shared" si="4"/>
        <v>2.3025850929940459</v>
      </c>
      <c r="I53" s="6">
        <f t="shared" si="1"/>
        <v>13.382215756322339</v>
      </c>
      <c r="J53" s="6">
        <f t="shared" si="2"/>
        <v>6.2355160241374774</v>
      </c>
      <c r="K53" s="6">
        <f t="shared" si="3"/>
        <v>11.378552177207165</v>
      </c>
      <c r="L53" s="6">
        <f>$R$10+$R$11*Таблица4[[#This Row],[ln(X)]]+$R$12*Таблица4[[#This Row],[ln(Y)]]</f>
        <v>1.8150494704038493</v>
      </c>
      <c r="M53" s="6">
        <f>EXP($R$10)*Таблица4[[#This Row],[X]]^$R$11*Таблица4[[#This Row],[Y]]^$R$12-$R$3</f>
        <v>-5.8586200135217554</v>
      </c>
      <c r="N53" s="6">
        <f>ABS((Таблица4[[#This Row],[Предсказанные значения Z]]-Таблица4[[#This Row],[Z]])/Таблица4[[#This Row],[Z]])</f>
        <v>1.9293100067608777</v>
      </c>
      <c r="O53" s="6">
        <f>ABS(Таблица4[[#This Row],[ln(|Z''|)]]-Таблица4[[#This Row],[Предсказанные значения ln(Z'')]])</f>
        <v>0.48753562259019656</v>
      </c>
      <c r="P53" s="6">
        <f>ABS(Таблица4[[#This Row],[Остатки]]/Таблица4[[#This Row],[ln(|Z''|)]])</f>
        <v>0.21173403062218871</v>
      </c>
    </row>
    <row r="54" spans="1:16" x14ac:dyDescent="0.25">
      <c r="A54">
        <v>53</v>
      </c>
      <c r="B54" s="3">
        <v>33</v>
      </c>
      <c r="C54" s="3">
        <v>303</v>
      </c>
      <c r="D54" s="3">
        <v>-6</v>
      </c>
      <c r="E54" s="3">
        <f>Таблица4[[#This Row],[Z]]+$R$3</f>
        <v>6</v>
      </c>
      <c r="F54" s="6">
        <f>LN(ABS(B54))</f>
        <v>3.4965075614664802</v>
      </c>
      <c r="G54" s="6">
        <f>LN(ABS(C54))</f>
        <v>5.7137328055093688</v>
      </c>
      <c r="H54" s="6">
        <f t="shared" si="4"/>
        <v>1.791759469228055</v>
      </c>
      <c r="I54" s="6">
        <f t="shared" si="1"/>
        <v>19.978109958662593</v>
      </c>
      <c r="J54" s="6">
        <f t="shared" si="2"/>
        <v>6.2649005324850613</v>
      </c>
      <c r="K54" s="6">
        <f t="shared" si="3"/>
        <v>10.237634858910392</v>
      </c>
      <c r="L54" s="6">
        <f>$R$10+$R$11*Таблица4[[#This Row],[ln(X)]]+$R$12*Таблица4[[#This Row],[ln(Y)]]</f>
        <v>1.7161193445124567</v>
      </c>
      <c r="M54" s="6">
        <f>EXP($R$10)*Таблица4[[#This Row],[X]]^$R$11*Таблица4[[#This Row],[Y]]^$R$12-$R$3</f>
        <v>-6.4371011710284503</v>
      </c>
      <c r="N54" s="6">
        <f>ABS((Таблица4[[#This Row],[Предсказанные значения Z]]-Таблица4[[#This Row],[Z]])/Таблица4[[#This Row],[Z]])</f>
        <v>7.285019517140838E-2</v>
      </c>
      <c r="O54" s="6">
        <f>ABS(Таблица4[[#This Row],[ln(|Z''|)]]-Таблица4[[#This Row],[Предсказанные значения ln(Z'')]])</f>
        <v>7.5640124715598223E-2</v>
      </c>
      <c r="P54" s="6">
        <f>ABS(Таблица4[[#This Row],[Остатки]]/Таблица4[[#This Row],[ln(|Z''|)]])</f>
        <v>4.2215557397437008E-2</v>
      </c>
    </row>
    <row r="55" spans="1:16" x14ac:dyDescent="0.25">
      <c r="A55">
        <v>54</v>
      </c>
      <c r="B55">
        <v>27</v>
      </c>
      <c r="C55">
        <v>247</v>
      </c>
      <c r="D55">
        <v>-7</v>
      </c>
      <c r="E55">
        <f>Таблица4[[#This Row],[Z]]+$R$3</f>
        <v>5</v>
      </c>
      <c r="F55" s="6">
        <f>LN(ABS(B55))</f>
        <v>3.2958368660043291</v>
      </c>
      <c r="G55" s="6">
        <f>LN(ABS(C55))</f>
        <v>5.5093883366279774</v>
      </c>
      <c r="H55" s="6">
        <f t="shared" si="4"/>
        <v>1.6094379124341003</v>
      </c>
      <c r="I55" s="6">
        <f t="shared" si="1"/>
        <v>18.158045188992759</v>
      </c>
      <c r="J55" s="6">
        <f t="shared" si="2"/>
        <v>5.304444805345355</v>
      </c>
      <c r="K55" s="6">
        <f t="shared" si="3"/>
        <v>8.8670184632913127</v>
      </c>
      <c r="L55" s="6">
        <f>$R$10+$R$11*Таблица4[[#This Row],[ln(X)]]+$R$12*Таблица4[[#This Row],[ln(Y)]]</f>
        <v>1.8015434414460358</v>
      </c>
      <c r="M55" s="6">
        <f>EXP($R$10)*Таблица4[[#This Row],[X]]^$R$11*Таблица4[[#This Row],[Y]]^$R$12-$R$3</f>
        <v>-5.9410080494780635</v>
      </c>
      <c r="N55" s="6">
        <f>ABS((Таблица4[[#This Row],[Предсказанные значения Z]]-Таблица4[[#This Row],[Z]])/Таблица4[[#This Row],[Z]])</f>
        <v>0.15128456436027665</v>
      </c>
      <c r="O55" s="6">
        <f>ABS(Таблица4[[#This Row],[ln(|Z''|)]]-Таблица4[[#This Row],[Предсказанные значения ln(Z'')]])</f>
        <v>0.19210552901193556</v>
      </c>
      <c r="P55" s="6">
        <f>ABS(Таблица4[[#This Row],[Остатки]]/Таблица4[[#This Row],[ln(|Z''|)]])</f>
        <v>0.1193618762971706</v>
      </c>
    </row>
    <row r="56" spans="1:16" x14ac:dyDescent="0.25">
      <c r="A56">
        <v>55</v>
      </c>
      <c r="B56" s="3">
        <v>43</v>
      </c>
      <c r="C56" s="3">
        <v>387</v>
      </c>
      <c r="D56" s="3">
        <v>-3</v>
      </c>
      <c r="E56" s="3">
        <f>Таблица4[[#This Row],[Z]]+$R$3</f>
        <v>9</v>
      </c>
      <c r="F56" s="6">
        <f>LN(ABS(B56))</f>
        <v>3.7612001156935624</v>
      </c>
      <c r="G56" s="6">
        <f>LN(ABS(C56))</f>
        <v>5.9584246930297819</v>
      </c>
      <c r="H56" s="6">
        <f t="shared" si="4"/>
        <v>2.1972245773362196</v>
      </c>
      <c r="I56" s="6">
        <f t="shared" si="1"/>
        <v>22.410827644774994</v>
      </c>
      <c r="J56" s="6">
        <f t="shared" si="2"/>
        <v>8.2642013344817276</v>
      </c>
      <c r="K56" s="6">
        <f t="shared" si="3"/>
        <v>13.091997177732056</v>
      </c>
      <c r="L56" s="6">
        <f>$R$10+$R$11*Таблица4[[#This Row],[ln(X)]]+$R$12*Таблица4[[#This Row],[ln(Y)]]</f>
        <v>1.7943870901984837</v>
      </c>
      <c r="M56" s="6">
        <f>EXP($R$10)*Таблица4[[#This Row],[X]]^$R$11*Таблица4[[#This Row],[Y]]^$R$12-$R$3</f>
        <v>-5.9842135428474652</v>
      </c>
      <c r="N56" s="6">
        <f>ABS((Таблица4[[#This Row],[Предсказанные значения Z]]-Таблица4[[#This Row],[Z]])/Таблица4[[#This Row],[Z]])</f>
        <v>0.99473784761582174</v>
      </c>
      <c r="O56" s="6">
        <f>ABS(Таблица4[[#This Row],[ln(|Z''|)]]-Таблица4[[#This Row],[Предсказанные значения ln(Z'')]])</f>
        <v>0.40283748713773582</v>
      </c>
      <c r="P56" s="6">
        <f>ABS(Таблица4[[#This Row],[Остатки]]/Таблица4[[#This Row],[ln(|Z''|)]])</f>
        <v>0.1833392413742756</v>
      </c>
    </row>
    <row r="57" spans="1:16" x14ac:dyDescent="0.25">
      <c r="A57">
        <v>56</v>
      </c>
      <c r="B57">
        <v>47</v>
      </c>
      <c r="C57">
        <v>426</v>
      </c>
      <c r="D57">
        <v>-7</v>
      </c>
      <c r="E57">
        <f>Таблица4[[#This Row],[Z]]+$R$3</f>
        <v>5</v>
      </c>
      <c r="F57" s="6">
        <f>LN(ABS(B57))</f>
        <v>3.8501476017100584</v>
      </c>
      <c r="G57" s="6">
        <f>LN(ABS(C57))</f>
        <v>6.0544393462693709</v>
      </c>
      <c r="H57" s="6">
        <f t="shared" si="4"/>
        <v>1.6094379124341003</v>
      </c>
      <c r="I57" s="6">
        <f t="shared" si="1"/>
        <v>23.310485128738033</v>
      </c>
      <c r="J57" s="6">
        <f t="shared" si="2"/>
        <v>6.1965735186593944</v>
      </c>
      <c r="K57" s="6">
        <f t="shared" si="3"/>
        <v>9.7442442224186543</v>
      </c>
      <c r="L57" s="6">
        <f>$R$10+$R$11*Таблица4[[#This Row],[ln(X)]]+$R$12*Таблица4[[#This Row],[ln(Y)]]</f>
        <v>1.7147258765743203</v>
      </c>
      <c r="M57" s="6">
        <f>EXP($R$10)*Таблица4[[#This Row],[X]]^$R$11*Таблица4[[#This Row],[Y]]^$R$12-$R$3</f>
        <v>-6.4448474938100677</v>
      </c>
      <c r="N57" s="6">
        <f>ABS((Таблица4[[#This Row],[Предсказанные значения Z]]-Таблица4[[#This Row],[Z]])/Таблица4[[#This Row],[Z]])</f>
        <v>7.9307500884276044E-2</v>
      </c>
      <c r="O57" s="6">
        <f>ABS(Таблица4[[#This Row],[ln(|Z''|)]]-Таблица4[[#This Row],[Предсказанные значения ln(Z'')]])</f>
        <v>0.10528796414022001</v>
      </c>
      <c r="P57" s="6">
        <f>ABS(Таблица4[[#This Row],[Остатки]]/Таблица4[[#This Row],[ln(|Z''|)]])</f>
        <v>6.5419090308978356E-2</v>
      </c>
    </row>
    <row r="58" spans="1:16" x14ac:dyDescent="0.25">
      <c r="A58">
        <v>57</v>
      </c>
      <c r="B58" s="3">
        <v>33</v>
      </c>
      <c r="C58" s="3">
        <v>304</v>
      </c>
      <c r="D58" s="3">
        <v>-6</v>
      </c>
      <c r="E58" s="3">
        <f>Таблица4[[#This Row],[Z]]+$R$3</f>
        <v>6</v>
      </c>
      <c r="F58" s="6">
        <f>LN(ABS(B58))</f>
        <v>3.4965075614664802</v>
      </c>
      <c r="G58" s="6">
        <f>LN(ABS(C58))</f>
        <v>5.7170277014062219</v>
      </c>
      <c r="H58" s="6">
        <f t="shared" si="4"/>
        <v>1.791759469228055</v>
      </c>
      <c r="I58" s="6">
        <f t="shared" si="1"/>
        <v>19.989630587080185</v>
      </c>
      <c r="J58" s="6">
        <f t="shared" si="2"/>
        <v>6.2649005324850613</v>
      </c>
      <c r="K58" s="6">
        <f t="shared" si="3"/>
        <v>10.243538519833699</v>
      </c>
      <c r="L58" s="6">
        <f>$R$10+$R$11*Таблица4[[#This Row],[ln(X)]]+$R$12*Таблица4[[#This Row],[ln(Y)]]</f>
        <v>1.6907980695451386</v>
      </c>
      <c r="M58" s="6">
        <f>EXP($R$10)*Таблица4[[#This Row],[X]]^$R$11*Таблица4[[#This Row],[Y]]^$R$12-$R$3</f>
        <v>-6.5761924460340753</v>
      </c>
      <c r="N58" s="6">
        <f>ABS((Таблица4[[#This Row],[Предсказанные значения Z]]-Таблица4[[#This Row],[Z]])/Таблица4[[#This Row],[Z]])</f>
        <v>9.6032074339012549E-2</v>
      </c>
      <c r="O58" s="6">
        <f>ABS(Таблица4[[#This Row],[ln(|Z''|)]]-Таблица4[[#This Row],[Предсказанные значения ln(Z'')]])</f>
        <v>0.1009613996829164</v>
      </c>
      <c r="P58" s="6">
        <f>ABS(Таблица4[[#This Row],[Остатки]]/Таблица4[[#This Row],[ln(|Z''|)]])</f>
        <v>5.6347630034523366E-2</v>
      </c>
    </row>
    <row r="59" spans="1:16" x14ac:dyDescent="0.25">
      <c r="A59">
        <v>58</v>
      </c>
      <c r="B59">
        <v>28</v>
      </c>
      <c r="C59">
        <v>257</v>
      </c>
      <c r="D59">
        <v>-9</v>
      </c>
      <c r="E59">
        <f>Таблица4[[#This Row],[Z]]+$R$3</f>
        <v>3</v>
      </c>
      <c r="F59" s="6">
        <f>LN(ABS(B59))</f>
        <v>3.3322045101752038</v>
      </c>
      <c r="G59" s="6">
        <f>LN(ABS(C59))</f>
        <v>5.5490760848952201</v>
      </c>
      <c r="H59" s="6">
        <f t="shared" si="4"/>
        <v>1.0986122886681098</v>
      </c>
      <c r="I59" s="6">
        <f t="shared" si="1"/>
        <v>18.490656357393213</v>
      </c>
      <c r="J59" s="6">
        <f t="shared" si="2"/>
        <v>3.6608008232337785</v>
      </c>
      <c r="K59" s="6">
        <f t="shared" si="3"/>
        <v>6.0962831776202124</v>
      </c>
      <c r="L59" s="6">
        <f>$R$10+$R$11*Таблица4[[#This Row],[ln(X)]]+$R$12*Таблица4[[#This Row],[ln(Y)]]</f>
        <v>1.7656636628767473</v>
      </c>
      <c r="M59" s="6">
        <f>EXP($R$10)*Таблица4[[#This Row],[X]]^$R$11*Таблица4[[#This Row],[Y]]^$R$12-$R$3</f>
        <v>-6.154549520457854</v>
      </c>
      <c r="N59" s="6">
        <f>ABS((Таблица4[[#This Row],[Предсказанные значения Z]]-Таблица4[[#This Row],[Z]])/Таблица4[[#This Row],[Z]])</f>
        <v>0.31616116439357178</v>
      </c>
      <c r="O59" s="6">
        <f>ABS(Таблица4[[#This Row],[ln(|Z''|)]]-Таблица4[[#This Row],[Предсказанные значения ln(Z'')]])</f>
        <v>0.66705137420863747</v>
      </c>
      <c r="P59" s="6">
        <f>ABS(Таблица4[[#This Row],[Остатки]]/Таблица4[[#This Row],[ln(|Z''|)]])</f>
        <v>0.6071763269800392</v>
      </c>
    </row>
    <row r="60" spans="1:16" x14ac:dyDescent="0.25">
      <c r="A60">
        <v>59</v>
      </c>
      <c r="B60" s="3">
        <v>41</v>
      </c>
      <c r="C60" s="3">
        <v>377</v>
      </c>
      <c r="D60" s="3">
        <v>-5</v>
      </c>
      <c r="E60" s="3">
        <f>Таблица4[[#This Row],[Z]]+$R$3</f>
        <v>7</v>
      </c>
      <c r="F60" s="6">
        <f>LN(ABS(B60))</f>
        <v>3.713572066704308</v>
      </c>
      <c r="G60" s="6">
        <f>LN(ABS(C60))</f>
        <v>5.9322451874480109</v>
      </c>
      <c r="H60" s="6">
        <f t="shared" si="4"/>
        <v>1.9459101490553132</v>
      </c>
      <c r="I60" s="6">
        <f t="shared" si="1"/>
        <v>22.029820020947994</v>
      </c>
      <c r="J60" s="6">
        <f t="shared" si="2"/>
        <v>7.2262775738482272</v>
      </c>
      <c r="K60" s="6">
        <f t="shared" si="3"/>
        <v>11.543616116939624</v>
      </c>
      <c r="L60" s="6">
        <f>$R$10+$R$11*Таблица4[[#This Row],[ln(X)]]+$R$12*Таблица4[[#This Row],[ln(Y)]]</f>
        <v>1.6431290280739148</v>
      </c>
      <c r="M60" s="6">
        <f>EXP($R$10)*Таблица4[[#This Row],[X]]^$R$11*Таблица4[[#This Row],[Y]]^$R$12-$R$3</f>
        <v>-6.8286745546332099</v>
      </c>
      <c r="N60" s="6">
        <f>ABS((Таблица4[[#This Row],[Предсказанные значения Z]]-Таблица4[[#This Row],[Z]])/Таблица4[[#This Row],[Z]])</f>
        <v>0.36573491092664201</v>
      </c>
      <c r="O60" s="6">
        <f>ABS(Таблица4[[#This Row],[ln(|Z''|)]]-Таблица4[[#This Row],[Предсказанные значения ln(Z'')]])</f>
        <v>0.30278112098139842</v>
      </c>
      <c r="P60" s="6">
        <f>ABS(Таблица4[[#This Row],[Остатки]]/Таблица4[[#This Row],[ln(|Z''|)]])</f>
        <v>0.15559871617319559</v>
      </c>
    </row>
    <row r="61" spans="1:16" x14ac:dyDescent="0.25">
      <c r="A61">
        <v>60</v>
      </c>
      <c r="B61">
        <v>59</v>
      </c>
      <c r="C61">
        <v>535</v>
      </c>
      <c r="D61">
        <v>-1</v>
      </c>
      <c r="E61">
        <f>Таблица4[[#This Row],[Z]]+$R$3</f>
        <v>11</v>
      </c>
      <c r="F61" s="6">
        <f>LN(ABS(B61))</f>
        <v>4.0775374439057197</v>
      </c>
      <c r="G61" s="6">
        <f>LN(ABS(C61))</f>
        <v>6.2822667468960063</v>
      </c>
      <c r="H61" s="6">
        <f t="shared" si="4"/>
        <v>2.3978952727983707</v>
      </c>
      <c r="I61" s="6">
        <f t="shared" si="1"/>
        <v>25.616177893072244</v>
      </c>
      <c r="J61" s="6">
        <f t="shared" si="2"/>
        <v>9.7775077613998764</v>
      </c>
      <c r="K61" s="6">
        <f t="shared" si="3"/>
        <v>15.064217734840332</v>
      </c>
      <c r="L61" s="6">
        <f>$R$10+$R$11*Таблица4[[#This Row],[ln(X)]]+$R$12*Таблица4[[#This Row],[ln(Y)]]</f>
        <v>1.6465571350065176</v>
      </c>
      <c r="M61" s="6">
        <f>EXP($R$10)*Таблица4[[#This Row],[X]]^$R$11*Таблица4[[#This Row],[Y]]^$R$12-$R$3</f>
        <v>-6.8109162767766351</v>
      </c>
      <c r="N61" s="6">
        <f>ABS((Таблица4[[#This Row],[Предсказанные значения Z]]-Таблица4[[#This Row],[Z]])/Таблица4[[#This Row],[Z]])</f>
        <v>5.8109162767766351</v>
      </c>
      <c r="O61" s="6">
        <f>ABS(Таблица4[[#This Row],[ln(|Z''|)]]-Таблица4[[#This Row],[Предсказанные значения ln(Z'')]])</f>
        <v>0.7513381377918531</v>
      </c>
      <c r="P61" s="6">
        <f>ABS(Таблица4[[#This Row],[Остатки]]/Таблица4[[#This Row],[ln(|Z''|)]])</f>
        <v>0.31333234037157637</v>
      </c>
    </row>
    <row r="62" spans="1:16" x14ac:dyDescent="0.25">
      <c r="A62">
        <v>61</v>
      </c>
      <c r="B62" s="3">
        <v>23</v>
      </c>
      <c r="C62" s="3">
        <v>208</v>
      </c>
      <c r="D62" s="3">
        <v>-5</v>
      </c>
      <c r="E62" s="3">
        <f>Таблица4[[#This Row],[Z]]+$R$3</f>
        <v>7</v>
      </c>
      <c r="F62" s="6">
        <f>LN(ABS(B62))</f>
        <v>3.1354942159291497</v>
      </c>
      <c r="G62" s="6">
        <f>LN(ABS(C62))</f>
        <v>5.3375380797013179</v>
      </c>
      <c r="H62" s="6">
        <f t="shared" si="4"/>
        <v>1.9459101490553132</v>
      </c>
      <c r="I62" s="6">
        <f t="shared" si="1"/>
        <v>16.735819776205062</v>
      </c>
      <c r="J62" s="6">
        <f t="shared" si="2"/>
        <v>6.1013900170807638</v>
      </c>
      <c r="K62" s="6">
        <f t="shared" si="3"/>
        <v>10.386369520260002</v>
      </c>
      <c r="L62" s="6">
        <f>$R$10+$R$11*Таблица4[[#This Row],[ln(X)]]+$R$12*Таблица4[[#This Row],[ln(Y)]]</f>
        <v>1.9356770553710803</v>
      </c>
      <c r="M62" s="6">
        <f>EXP($R$10)*Таблица4[[#This Row],[X]]^$R$11*Таблица4[[#This Row],[Y]]^$R$12-$R$3</f>
        <v>-5.0712663960415236</v>
      </c>
      <c r="N62" s="6">
        <f>ABS((Таблица4[[#This Row],[Предсказанные значения Z]]-Таблица4[[#This Row],[Z]])/Таблица4[[#This Row],[Z]])</f>
        <v>1.4253279208304725E-2</v>
      </c>
      <c r="O62" s="6">
        <f>ABS(Таблица4[[#This Row],[ln(|Z''|)]]-Таблица4[[#This Row],[Предсказанные значения ln(Z'')]])</f>
        <v>1.0233093684232974E-2</v>
      </c>
      <c r="P62" s="6">
        <f>ABS(Таблица4[[#This Row],[Остатки]]/Таблица4[[#This Row],[ln(|Z''|)]])</f>
        <v>5.258769881641691E-3</v>
      </c>
    </row>
    <row r="63" spans="1:16" x14ac:dyDescent="0.25">
      <c r="A63">
        <v>62</v>
      </c>
      <c r="B63">
        <v>39</v>
      </c>
      <c r="C63">
        <v>357</v>
      </c>
      <c r="D63">
        <v>-4</v>
      </c>
      <c r="E63">
        <f>Таблица4[[#This Row],[Z]]+$R$3</f>
        <v>8</v>
      </c>
      <c r="F63" s="6">
        <f>LN(ABS(B63))</f>
        <v>3.6635616461296463</v>
      </c>
      <c r="G63" s="6">
        <f>LN(ABS(C63))</f>
        <v>5.8777357817796387</v>
      </c>
      <c r="H63" s="6">
        <f t="shared" si="4"/>
        <v>2.0794415416798357</v>
      </c>
      <c r="I63" s="6">
        <f t="shared" si="1"/>
        <v>21.533447376211736</v>
      </c>
      <c r="J63" s="6">
        <f t="shared" si="2"/>
        <v>7.6181622774669489</v>
      </c>
      <c r="K63" s="6">
        <f t="shared" si="3"/>
        <v>12.222407955650587</v>
      </c>
      <c r="L63" s="6">
        <f>$R$10+$R$11*Таблица4[[#This Row],[ln(X)]]+$R$12*Таблица4[[#This Row],[ln(Y)]]</f>
        <v>1.6919566983828673</v>
      </c>
      <c r="M63" s="6">
        <f>EXP($R$10)*Таблица4[[#This Row],[X]]^$R$11*Таблица4[[#This Row],[Y]]^$R$12-$R$3</f>
        <v>-6.5699046242693759</v>
      </c>
      <c r="N63" s="6">
        <f>ABS((Таблица4[[#This Row],[Предсказанные значения Z]]-Таблица4[[#This Row],[Z]])/Таблица4[[#This Row],[Z]])</f>
        <v>0.64247615606734398</v>
      </c>
      <c r="O63" s="6">
        <f>ABS(Таблица4[[#This Row],[ln(|Z''|)]]-Таблица4[[#This Row],[Предсказанные значения ln(Z'')]])</f>
        <v>0.38748484329696842</v>
      </c>
      <c r="P63" s="6">
        <f>ABS(Таблица4[[#This Row],[Остатки]]/Таблица4[[#This Row],[ln(|Z''|)]])</f>
        <v>0.18634082061472448</v>
      </c>
    </row>
    <row r="64" spans="1:16" x14ac:dyDescent="0.25">
      <c r="A64">
        <v>63</v>
      </c>
      <c r="B64" s="3">
        <v>37</v>
      </c>
      <c r="C64" s="3">
        <v>337</v>
      </c>
      <c r="D64" s="3">
        <v>-3</v>
      </c>
      <c r="E64" s="3">
        <f>Таблица4[[#This Row],[Z]]+$R$3</f>
        <v>9</v>
      </c>
      <c r="F64" s="6">
        <f>LN(ABS(B64))</f>
        <v>3.6109179126442243</v>
      </c>
      <c r="G64" s="6">
        <f>LN(ABS(C64))</f>
        <v>5.8200829303523616</v>
      </c>
      <c r="H64" s="6">
        <f t="shared" si="4"/>
        <v>2.1972245773362196</v>
      </c>
      <c r="I64" s="6">
        <f t="shared" si="1"/>
        <v>21.015841706284231</v>
      </c>
      <c r="J64" s="6">
        <f t="shared" si="2"/>
        <v>7.93399758440549</v>
      </c>
      <c r="K64" s="6">
        <f t="shared" si="3"/>
        <v>12.788029256705213</v>
      </c>
      <c r="L64" s="6">
        <f>$R$10+$R$11*Таблица4[[#This Row],[ln(X)]]+$R$12*Таблица4[[#This Row],[ln(Y)]]</f>
        <v>1.7454552338093663</v>
      </c>
      <c r="M64" s="6">
        <f>EXP($R$10)*Таблица4[[#This Row],[X]]^$R$11*Таблица4[[#This Row],[Y]]^$R$12-$R$3</f>
        <v>-6.2714913072362668</v>
      </c>
      <c r="N64" s="6">
        <f>ABS((Таблица4[[#This Row],[Предсказанные значения Z]]-Таблица4[[#This Row],[Z]])/Таблица4[[#This Row],[Z]])</f>
        <v>1.0904971024120889</v>
      </c>
      <c r="O64" s="6">
        <f>ABS(Таблица4[[#This Row],[ln(|Z''|)]]-Таблица4[[#This Row],[Предсказанные значения ln(Z'')]])</f>
        <v>0.45176934352685327</v>
      </c>
      <c r="P64" s="6">
        <f>ABS(Таблица4[[#This Row],[Остатки]]/Таблица4[[#This Row],[ln(|Z''|)]])</f>
        <v>0.20560908893279845</v>
      </c>
    </row>
    <row r="65" spans="1:16" x14ac:dyDescent="0.25">
      <c r="A65">
        <v>64</v>
      </c>
      <c r="B65">
        <v>49</v>
      </c>
      <c r="C65">
        <v>447</v>
      </c>
      <c r="D65">
        <v>-2</v>
      </c>
      <c r="E65">
        <f>Таблица4[[#This Row],[Z]]+$R$3</f>
        <v>10</v>
      </c>
      <c r="F65" s="6">
        <f>LN(ABS(B65))</f>
        <v>3.8918202981106265</v>
      </c>
      <c r="G65" s="6">
        <f>LN(ABS(C65))</f>
        <v>6.1025585946135692</v>
      </c>
      <c r="H65" s="6">
        <f t="shared" si="4"/>
        <v>2.3025850929940459</v>
      </c>
      <c r="I65" s="6">
        <f t="shared" si="1"/>
        <v>23.750061408926548</v>
      </c>
      <c r="J65" s="6">
        <f t="shared" si="2"/>
        <v>8.9612474030411722</v>
      </c>
      <c r="K65" s="6">
        <f t="shared" si="3"/>
        <v>14.051660449079899</v>
      </c>
      <c r="L65" s="6">
        <f>$R$10+$R$11*Таблица4[[#This Row],[ln(X)]]+$R$12*Таблица4[[#This Row],[ln(Y)]]</f>
        <v>1.6533074064133615</v>
      </c>
      <c r="M65" s="6">
        <f>EXP($R$10)*Таблица4[[#This Row],[X]]^$R$11*Таблица4[[#This Row],[Y]]^$R$12-$R$3</f>
        <v>-6.7757700635092286</v>
      </c>
      <c r="N65" s="6">
        <f>ABS((Таблица4[[#This Row],[Предсказанные значения Z]]-Таблица4[[#This Row],[Z]])/Таблица4[[#This Row],[Z]])</f>
        <v>2.3878850317546143</v>
      </c>
      <c r="O65" s="6">
        <f>ABS(Таблица4[[#This Row],[ln(|Z''|)]]-Таблица4[[#This Row],[Предсказанные значения ln(Z'')]])</f>
        <v>0.64927768658068441</v>
      </c>
      <c r="P65" s="6">
        <f>ABS(Таблица4[[#This Row],[Остатки]]/Таблица4[[#This Row],[ln(|Z''|)]])</f>
        <v>0.28197771650490022</v>
      </c>
    </row>
    <row r="66" spans="1:16" x14ac:dyDescent="0.25">
      <c r="A66">
        <v>65</v>
      </c>
      <c r="B66" s="3">
        <v>26</v>
      </c>
      <c r="C66" s="3">
        <v>238</v>
      </c>
      <c r="D66" s="3">
        <v>-7</v>
      </c>
      <c r="E66" s="3">
        <f>Таблица4[[#This Row],[Z]]+$R$3</f>
        <v>5</v>
      </c>
      <c r="F66" s="6">
        <f>LN(ABS(B66))</f>
        <v>3.2580965380214821</v>
      </c>
      <c r="G66" s="6">
        <f>LN(ABS(C66))</f>
        <v>5.472270673671475</v>
      </c>
      <c r="H66" s="6">
        <f t="shared" ref="H66:H91" si="5">LN(ABS(E66))</f>
        <v>1.6094379124341003</v>
      </c>
      <c r="I66" s="6">
        <f t="shared" si="1"/>
        <v>17.829186137005518</v>
      </c>
      <c r="J66" s="6">
        <f t="shared" si="2"/>
        <v>5.2437040906620638</v>
      </c>
      <c r="K66" s="6">
        <f t="shared" si="3"/>
        <v>8.8072798893081661</v>
      </c>
      <c r="L66" s="6">
        <f>$R$10+$R$11*Таблица4[[#This Row],[ln(X)]]+$R$12*Таблица4[[#This Row],[ln(Y)]]</f>
        <v>1.8075142541936913</v>
      </c>
      <c r="M66" s="6">
        <f>EXP($R$10)*Таблица4[[#This Row],[X]]^$R$11*Таблица4[[#This Row],[Y]]^$R$12-$R$3</f>
        <v>-5.9047227244607807</v>
      </c>
      <c r="N66" s="6">
        <f>ABS((Таблица4[[#This Row],[Предсказанные значения Z]]-Таблица4[[#This Row],[Z]])/Таблица4[[#This Row],[Z]])</f>
        <v>0.15646818221988848</v>
      </c>
      <c r="O66" s="6">
        <f>ABS(Таблица4[[#This Row],[ln(|Z''|)]]-Таблица4[[#This Row],[Предсказанные значения ln(Z'')]])</f>
        <v>0.19807634175959099</v>
      </c>
      <c r="P66" s="6">
        <f>ABS(Таблица4[[#This Row],[Остатки]]/Таблица4[[#This Row],[ln(|Z''|)]])</f>
        <v>0.12307175084500278</v>
      </c>
    </row>
    <row r="67" spans="1:16" x14ac:dyDescent="0.25">
      <c r="A67">
        <v>66</v>
      </c>
      <c r="B67">
        <v>20</v>
      </c>
      <c r="C67">
        <v>182</v>
      </c>
      <c r="D67">
        <v>-3</v>
      </c>
      <c r="E67">
        <f>Таблица4[[#This Row],[Z]]+$R$3</f>
        <v>9</v>
      </c>
      <c r="F67" s="6">
        <f>LN(ABS(B67))</f>
        <v>2.9957322735539909</v>
      </c>
      <c r="G67" s="6">
        <f>LN(ABS(C67))</f>
        <v>5.2040066870767951</v>
      </c>
      <c r="H67" s="6">
        <f t="shared" si="5"/>
        <v>2.1972245773362196</v>
      </c>
      <c r="I67" s="6">
        <f t="shared" ref="I67:I91" si="6">F67*G67</f>
        <v>15.589810784266739</v>
      </c>
      <c r="J67" s="6">
        <f t="shared" ref="J67:J91" si="7">F67*H67</f>
        <v>6.5822965785721399</v>
      </c>
      <c r="K67" s="6">
        <f t="shared" ref="K67:K91" si="8">G67*H67</f>
        <v>11.434371393467172</v>
      </c>
      <c r="L67" s="6">
        <f>$R$10+$R$11*Таблица4[[#This Row],[ln(X)]]+$R$12*Таблица4[[#This Row],[ln(Y)]]</f>
        <v>1.9276274341143633</v>
      </c>
      <c r="M67" s="6">
        <f>EXP($R$10)*Таблица4[[#This Row],[X]]^$R$11*Таблица4[[#This Row],[Y]]^$R$12-$R$3</f>
        <v>-5.1268161999489692</v>
      </c>
      <c r="N67" s="6">
        <f>ABS((Таблица4[[#This Row],[Предсказанные значения Z]]-Таблица4[[#This Row],[Z]])/Таблица4[[#This Row],[Z]])</f>
        <v>0.70893873331632307</v>
      </c>
      <c r="O67" s="6">
        <f>ABS(Таблица4[[#This Row],[ln(|Z''|)]]-Таблица4[[#This Row],[Предсказанные значения ln(Z'')]])</f>
        <v>0.26959714322185624</v>
      </c>
      <c r="P67" s="6">
        <f>ABS(Таблица4[[#This Row],[Остатки]]/Таблица4[[#This Row],[ln(|Z''|)]])</f>
        <v>0.12269894757353356</v>
      </c>
    </row>
    <row r="68" spans="1:16" x14ac:dyDescent="0.25">
      <c r="A68">
        <v>67</v>
      </c>
      <c r="B68" s="3">
        <v>48</v>
      </c>
      <c r="C68" s="3">
        <v>437</v>
      </c>
      <c r="D68" s="3">
        <v>-9</v>
      </c>
      <c r="E68" s="3">
        <f>Таблица4[[#This Row],[Z]]+$R$3</f>
        <v>3</v>
      </c>
      <c r="F68" s="6">
        <f>LN(ABS(B68))</f>
        <v>3.8712010109078911</v>
      </c>
      <c r="G68" s="6">
        <f>LN(ABS(C68))</f>
        <v>6.0799331950955899</v>
      </c>
      <c r="H68" s="6">
        <f t="shared" si="5"/>
        <v>1.0986122886681098</v>
      </c>
      <c r="I68" s="6">
        <f t="shared" si="6"/>
        <v>23.536643531106492</v>
      </c>
      <c r="J68" s="6">
        <f t="shared" si="7"/>
        <v>4.2529490024878189</v>
      </c>
      <c r="K68" s="6">
        <f t="shared" si="8"/>
        <v>6.6794893224131791</v>
      </c>
      <c r="L68" s="6">
        <f>$R$10+$R$11*Таблица4[[#This Row],[ln(X)]]+$R$12*Таблица4[[#This Row],[ln(Y)]]</f>
        <v>1.674600876408789</v>
      </c>
      <c r="M68" s="6">
        <f>EXP($R$10)*Таблица4[[#This Row],[X]]^$R$11*Таблица4[[#This Row],[Y]]^$R$12-$R$3</f>
        <v>-6.6633352648419546</v>
      </c>
      <c r="N68" s="6">
        <f>ABS((Таблица4[[#This Row],[Предсказанные значения Z]]-Таблица4[[#This Row],[Z]])/Таблица4[[#This Row],[Z]])</f>
        <v>0.25962941501756059</v>
      </c>
      <c r="O68" s="6">
        <f>ABS(Таблица4[[#This Row],[ln(|Z''|)]]-Таблица4[[#This Row],[Предсказанные значения ln(Z'')]])</f>
        <v>0.57598858774067918</v>
      </c>
      <c r="P68" s="6">
        <f>ABS(Таблица4[[#This Row],[Остатки]]/Таблица4[[#This Row],[ln(|Z''|)]])</f>
        <v>0.52428740665096008</v>
      </c>
    </row>
    <row r="69" spans="1:16" x14ac:dyDescent="0.25">
      <c r="A69">
        <v>68</v>
      </c>
      <c r="B69">
        <v>32</v>
      </c>
      <c r="C69">
        <v>292</v>
      </c>
      <c r="D69">
        <v>-10</v>
      </c>
      <c r="E69">
        <f>Таблица4[[#This Row],[Z]]+$R$3</f>
        <v>2</v>
      </c>
      <c r="F69" s="6">
        <f>LN(ABS(B69))</f>
        <v>3.4657359027997265</v>
      </c>
      <c r="G69" s="6">
        <f>LN(ABS(C69))</f>
        <v>5.6767538022682817</v>
      </c>
      <c r="H69" s="6">
        <f t="shared" si="5"/>
        <v>0.69314718055994529</v>
      </c>
      <c r="I69" s="6">
        <f t="shared" si="6"/>
        <v>19.674129463876042</v>
      </c>
      <c r="J69" s="6">
        <f t="shared" si="7"/>
        <v>2.4022650695910071</v>
      </c>
      <c r="K69" s="6">
        <f t="shared" si="8"/>
        <v>3.9348258927752084</v>
      </c>
      <c r="L69" s="6">
        <f>$R$10+$R$11*Таблица4[[#This Row],[ln(X)]]+$R$12*Таблица4[[#This Row],[ln(Y)]]</f>
        <v>1.7725927102862329</v>
      </c>
      <c r="M69" s="6">
        <f>EXP($R$10)*Таблица4[[#This Row],[X]]^$R$11*Таблица4[[#This Row],[Y]]^$R$12-$R$3</f>
        <v>-6.1139054672853144</v>
      </c>
      <c r="N69" s="6">
        <f>ABS((Таблица4[[#This Row],[Предсказанные значения Z]]-Таблица4[[#This Row],[Z]])/Таблица4[[#This Row],[Z]])</f>
        <v>0.38860945327146856</v>
      </c>
      <c r="O69" s="6">
        <f>ABS(Таблица4[[#This Row],[ln(|Z''|)]]-Таблица4[[#This Row],[Предсказанные значения ln(Z'')]])</f>
        <v>1.0794455297262875</v>
      </c>
      <c r="P69" s="6">
        <f>ABS(Таблица4[[#This Row],[Остатки]]/Таблица4[[#This Row],[ln(|Z''|)]])</f>
        <v>1.5573107126458752</v>
      </c>
    </row>
    <row r="70" spans="1:16" x14ac:dyDescent="0.25">
      <c r="A70">
        <v>69</v>
      </c>
      <c r="B70" s="3">
        <v>52</v>
      </c>
      <c r="C70" s="3">
        <v>473</v>
      </c>
      <c r="D70" s="3">
        <v>-8</v>
      </c>
      <c r="E70" s="3">
        <f>Таблица4[[#This Row],[Z]]+$R$3</f>
        <v>4</v>
      </c>
      <c r="F70" s="6">
        <f>LN(ABS(B70))</f>
        <v>3.9512437185814275</v>
      </c>
      <c r="G70" s="6">
        <f>LN(ABS(C70))</f>
        <v>6.1590953884919326</v>
      </c>
      <c r="H70" s="6">
        <f t="shared" si="5"/>
        <v>1.3862943611198906</v>
      </c>
      <c r="I70" s="6">
        <f t="shared" si="6"/>
        <v>24.336086965922586</v>
      </c>
      <c r="J70" s="6">
        <f t="shared" si="7"/>
        <v>5.4775868864798207</v>
      </c>
      <c r="K70" s="6">
        <f t="shared" si="8"/>
        <v>8.5383192066658875</v>
      </c>
      <c r="L70" s="6">
        <f>$R$10+$R$11*Таблица4[[#This Row],[ln(X)]]+$R$12*Таблица4[[#This Row],[ln(Y)]]</f>
        <v>1.658555456942068</v>
      </c>
      <c r="M70" s="6">
        <f>EXP($R$10)*Таблица4[[#This Row],[X]]^$R$11*Таблица4[[#This Row],[Y]]^$R$12-$R$3</f>
        <v>-6.7482809718500514</v>
      </c>
      <c r="N70" s="6">
        <f>ABS((Таблица4[[#This Row],[Предсказанные значения Z]]-Таблица4[[#This Row],[Z]])/Таблица4[[#This Row],[Z]])</f>
        <v>0.15646487851874358</v>
      </c>
      <c r="O70" s="6">
        <f>ABS(Таблица4[[#This Row],[ln(|Z''|)]]-Таблица4[[#This Row],[Предсказанные значения ln(Z'')]])</f>
        <v>0.27226109582217739</v>
      </c>
      <c r="P70" s="6">
        <f>ABS(Таблица4[[#This Row],[Остатки]]/Таблица4[[#This Row],[ln(|Z''|)]])</f>
        <v>0.19639486638482512</v>
      </c>
    </row>
    <row r="71" spans="1:16" x14ac:dyDescent="0.25">
      <c r="A71">
        <v>70</v>
      </c>
      <c r="B71">
        <v>43</v>
      </c>
      <c r="C71">
        <v>392</v>
      </c>
      <c r="D71">
        <v>-1</v>
      </c>
      <c r="E71">
        <f>Таблица4[[#This Row],[Z]]+$R$3</f>
        <v>11</v>
      </c>
      <c r="F71" s="6">
        <f>LN(ABS(B71))</f>
        <v>3.7612001156935624</v>
      </c>
      <c r="G71" s="6">
        <f>LN(ABS(C71))</f>
        <v>5.9712618397904622</v>
      </c>
      <c r="H71" s="6">
        <f t="shared" si="5"/>
        <v>2.3978952727983707</v>
      </c>
      <c r="I71" s="6">
        <f t="shared" si="6"/>
        <v>22.45911072265644</v>
      </c>
      <c r="J71" s="6">
        <f t="shared" si="7"/>
        <v>9.0189639774702783</v>
      </c>
      <c r="K71" s="6">
        <f t="shared" si="8"/>
        <v>14.31846053827485</v>
      </c>
      <c r="L71" s="6">
        <f>$R$10+$R$11*Таблица4[[#This Row],[ln(X)]]+$R$12*Таблица4[[#This Row],[ln(Y)]]</f>
        <v>1.6957336173426611</v>
      </c>
      <c r="M71" s="6">
        <f>EXP($R$10)*Таблица4[[#This Row],[X]]^$R$11*Таблица4[[#This Row],[Y]]^$R$12-$R$3</f>
        <v>-6.549356814812092</v>
      </c>
      <c r="N71" s="6">
        <f>ABS((Таблица4[[#This Row],[Предсказанные значения Z]]-Таблица4[[#This Row],[Z]])/Таблица4[[#This Row],[Z]])</f>
        <v>5.549356814812092</v>
      </c>
      <c r="O71" s="6">
        <f>ABS(Таблица4[[#This Row],[ln(|Z''|)]]-Таблица4[[#This Row],[Предсказанные значения ln(Z'')]])</f>
        <v>0.70216165545570952</v>
      </c>
      <c r="P71" s="6">
        <f>ABS(Таблица4[[#This Row],[Остатки]]/Таблица4[[#This Row],[ln(|Z''|)]])</f>
        <v>0.29282415434110221</v>
      </c>
    </row>
    <row r="72" spans="1:16" x14ac:dyDescent="0.25">
      <c r="A72">
        <v>71</v>
      </c>
      <c r="B72" s="3">
        <v>49</v>
      </c>
      <c r="C72" s="3">
        <v>442</v>
      </c>
      <c r="D72" s="3">
        <v>-2</v>
      </c>
      <c r="E72" s="3">
        <f>Таблица4[[#This Row],[Z]]+$R$3</f>
        <v>10</v>
      </c>
      <c r="F72" s="6">
        <f>LN(ABS(B72))</f>
        <v>3.8918202981106265</v>
      </c>
      <c r="G72" s="6">
        <f>LN(ABS(C72))</f>
        <v>6.0913098820776979</v>
      </c>
      <c r="H72" s="6">
        <f t="shared" si="5"/>
        <v>2.3025850929940459</v>
      </c>
      <c r="I72" s="6">
        <f t="shared" si="6"/>
        <v>23.706283441151832</v>
      </c>
      <c r="J72" s="6">
        <f t="shared" si="7"/>
        <v>8.9612474030411722</v>
      </c>
      <c r="K72" s="6">
        <f t="shared" si="8"/>
        <v>14.025759331279426</v>
      </c>
      <c r="L72" s="6">
        <f>$R$10+$R$11*Таблица4[[#This Row],[ln(X)]]+$R$12*Таблица4[[#This Row],[ln(Y)]]</f>
        <v>1.7397537622515316</v>
      </c>
      <c r="M72" s="6">
        <f>EXP($R$10)*Таблица4[[#This Row],[X]]^$R$11*Таблица4[[#This Row],[Y]]^$R$12-$R$3</f>
        <v>-6.3040593056352421</v>
      </c>
      <c r="N72" s="6">
        <f>ABS((Таблица4[[#This Row],[Предсказанные значения Z]]-Таблица4[[#This Row],[Z]])/Таблица4[[#This Row],[Z]])</f>
        <v>2.152029652817621</v>
      </c>
      <c r="O72" s="6">
        <f>ABS(Таблица4[[#This Row],[ln(|Z''|)]]-Таблица4[[#This Row],[Предсказанные значения ln(Z'')]])</f>
        <v>0.56283133074251435</v>
      </c>
      <c r="P72" s="6">
        <f>ABS(Таблица4[[#This Row],[Остатки]]/Таблица4[[#This Row],[ln(|Z''|)]])</f>
        <v>0.24443454118373803</v>
      </c>
    </row>
    <row r="73" spans="1:16" x14ac:dyDescent="0.25">
      <c r="A73">
        <v>72</v>
      </c>
      <c r="B73">
        <v>39</v>
      </c>
      <c r="C73">
        <v>356</v>
      </c>
      <c r="D73">
        <v>-7</v>
      </c>
      <c r="E73">
        <f>Таблица4[[#This Row],[Z]]+$R$3</f>
        <v>5</v>
      </c>
      <c r="F73" s="6">
        <f>LN(ABS(B73))</f>
        <v>3.6635616461296463</v>
      </c>
      <c r="G73" s="6">
        <f>LN(ABS(C73))</f>
        <v>5.8749307308520304</v>
      </c>
      <c r="H73" s="6">
        <f t="shared" si="5"/>
        <v>1.6094379124341003</v>
      </c>
      <c r="I73" s="6">
        <f t="shared" si="6"/>
        <v>21.523170899217909</v>
      </c>
      <c r="J73" s="6">
        <f t="shared" si="7"/>
        <v>5.8962750078205337</v>
      </c>
      <c r="K73" s="6">
        <f t="shared" si="8"/>
        <v>9.4553362511574353</v>
      </c>
      <c r="L73" s="6">
        <f>$R$10+$R$11*Таблица4[[#This Row],[ln(X)]]+$R$12*Таблица4[[#This Row],[ln(Y)]]</f>
        <v>1.7135135147615372</v>
      </c>
      <c r="M73" s="6">
        <f>EXP($R$10)*Таблица4[[#This Row],[X]]^$R$11*Таблица4[[#This Row],[Y]]^$R$12-$R$3</f>
        <v>-6.4515782676817333</v>
      </c>
      <c r="N73" s="6">
        <f>ABS((Таблица4[[#This Row],[Предсказанные значения Z]]-Таблица4[[#This Row],[Z]])/Таблица4[[#This Row],[Z]])</f>
        <v>7.8345961759752392E-2</v>
      </c>
      <c r="O73" s="6">
        <f>ABS(Таблица4[[#This Row],[ln(|Z''|)]]-Таблица4[[#This Row],[Предсказанные значения ln(Z'')]])</f>
        <v>0.10407560232743696</v>
      </c>
      <c r="P73" s="6">
        <f>ABS(Таблица4[[#This Row],[Остатки]]/Таблица4[[#This Row],[ln(|Z''|)]])</f>
        <v>6.4665807561370234E-2</v>
      </c>
    </row>
    <row r="74" spans="1:16" x14ac:dyDescent="0.25">
      <c r="A74">
        <v>73</v>
      </c>
      <c r="B74" s="3">
        <v>42</v>
      </c>
      <c r="C74" s="3">
        <v>386</v>
      </c>
      <c r="D74" s="3">
        <v>-3</v>
      </c>
      <c r="E74" s="3">
        <f>Таблица4[[#This Row],[Z]]+$R$3</f>
        <v>9</v>
      </c>
      <c r="F74" s="6">
        <f>LN(ABS(B74))</f>
        <v>3.7376696182833684</v>
      </c>
      <c r="G74" s="6">
        <f>LN(ABS(C74))</f>
        <v>5.955837369464831</v>
      </c>
      <c r="H74" s="6">
        <f t="shared" si="5"/>
        <v>2.1972245773362196</v>
      </c>
      <c r="I74" s="6">
        <f t="shared" si="6"/>
        <v>22.260952387285435</v>
      </c>
      <c r="J74" s="6">
        <f t="shared" si="7"/>
        <v>8.2124995472551028</v>
      </c>
      <c r="K74" s="6">
        <f t="shared" si="8"/>
        <v>13.086312246805624</v>
      </c>
      <c r="L74" s="6">
        <f>$R$10+$R$11*Таблица4[[#This Row],[ln(X)]]+$R$12*Таблица4[[#This Row],[ln(Y)]]</f>
        <v>1.6401449909597048</v>
      </c>
      <c r="M74" s="6">
        <f>EXP($R$10)*Таблица4[[#This Row],[X]]^$R$11*Таблица4[[#This Row],[Y]]^$R$12-$R$3</f>
        <v>-6.8440829806007182</v>
      </c>
      <c r="N74" s="6">
        <f>ABS((Таблица4[[#This Row],[Предсказанные значения Z]]-Таблица4[[#This Row],[Z]])/Таблица4[[#This Row],[Z]])</f>
        <v>1.2813609935335728</v>
      </c>
      <c r="O74" s="6">
        <f>ABS(Таблица4[[#This Row],[ln(|Z''|)]]-Таблица4[[#This Row],[Предсказанные значения ln(Z'')]])</f>
        <v>0.55707958637651478</v>
      </c>
      <c r="P74" s="6">
        <f>ABS(Таблица4[[#This Row],[Остатки]]/Таблица4[[#This Row],[ln(|Z''|)]])</f>
        <v>0.2535378459364786</v>
      </c>
    </row>
    <row r="75" spans="1:16" x14ac:dyDescent="0.25">
      <c r="A75">
        <v>74</v>
      </c>
      <c r="B75">
        <v>37</v>
      </c>
      <c r="C75">
        <v>338</v>
      </c>
      <c r="D75">
        <v>-5</v>
      </c>
      <c r="E75">
        <f>Таблица4[[#This Row],[Z]]+$R$3</f>
        <v>7</v>
      </c>
      <c r="F75" s="6">
        <f>LN(ABS(B75))</f>
        <v>3.6109179126442243</v>
      </c>
      <c r="G75" s="6">
        <f>LN(ABS(C75))</f>
        <v>5.8230458954830189</v>
      </c>
      <c r="H75" s="6">
        <f t="shared" si="5"/>
        <v>1.9459101490553132</v>
      </c>
      <c r="I75" s="6">
        <f t="shared" si="6"/>
        <v>21.026540730149062</v>
      </c>
      <c r="J75" s="6">
        <f t="shared" si="7"/>
        <v>7.0265218136200227</v>
      </c>
      <c r="K75" s="6">
        <f t="shared" si="8"/>
        <v>11.331124106435292</v>
      </c>
      <c r="L75" s="6">
        <f>$R$10+$R$11*Таблица4[[#This Row],[ln(X)]]+$R$12*Таблица4[[#This Row],[ln(Y)]]</f>
        <v>1.7226848467802611</v>
      </c>
      <c r="M75" s="6">
        <f>EXP($R$10)*Таблица4[[#This Row],[X]]^$R$11*Таблица4[[#This Row],[Y]]^$R$12-$R$3</f>
        <v>-6.4004577866682126</v>
      </c>
      <c r="N75" s="6">
        <f>ABS((Таблица4[[#This Row],[Предсказанные значения Z]]-Таблица4[[#This Row],[Z]])/Таблица4[[#This Row],[Z]])</f>
        <v>0.28009155733364255</v>
      </c>
      <c r="O75" s="6">
        <f>ABS(Таблица4[[#This Row],[ln(|Z''|)]]-Таблица4[[#This Row],[Предсказанные значения ln(Z'')]])</f>
        <v>0.22322530227505211</v>
      </c>
      <c r="P75" s="6">
        <f>ABS(Таблица4[[#This Row],[Остатки]]/Таблица4[[#This Row],[ln(|Z''|)]])</f>
        <v>0.11471511281413582</v>
      </c>
    </row>
    <row r="76" spans="1:16" x14ac:dyDescent="0.25">
      <c r="A76">
        <v>75</v>
      </c>
      <c r="B76" s="3">
        <v>30</v>
      </c>
      <c r="C76" s="3">
        <v>277</v>
      </c>
      <c r="D76" s="3">
        <v>-4</v>
      </c>
      <c r="E76" s="3">
        <f>Таблица4[[#This Row],[Z]]+$R$3</f>
        <v>8</v>
      </c>
      <c r="F76" s="6">
        <f>LN(ABS(B76))</f>
        <v>3.4011973816621555</v>
      </c>
      <c r="G76" s="6">
        <f>LN(ABS(C76))</f>
        <v>5.6240175061873385</v>
      </c>
      <c r="H76" s="6">
        <f t="shared" si="5"/>
        <v>2.0794415416798357</v>
      </c>
      <c r="I76" s="6">
        <f t="shared" si="6"/>
        <v>19.1283936164665</v>
      </c>
      <c r="J76" s="6">
        <f t="shared" si="7"/>
        <v>7.0725911268809734</v>
      </c>
      <c r="K76" s="6">
        <f t="shared" si="8"/>
        <v>11.694815633500584</v>
      </c>
      <c r="L76" s="6">
        <f>$R$10+$R$11*Таблица4[[#This Row],[ln(X)]]+$R$12*Таблица4[[#This Row],[ln(Y)]]</f>
        <v>1.7002860892502554</v>
      </c>
      <c r="M76" s="6">
        <f>EXP($R$10)*Таблица4[[#This Row],[X]]^$R$11*Таблица4[[#This Row],[Y]]^$R$12-$R$3</f>
        <v>-6.5244863467329335</v>
      </c>
      <c r="N76" s="6">
        <f>ABS((Таблица4[[#This Row],[Предсказанные значения Z]]-Таблица4[[#This Row],[Z]])/Таблица4[[#This Row],[Z]])</f>
        <v>0.63112158668323337</v>
      </c>
      <c r="O76" s="6">
        <f>ABS(Таблица4[[#This Row],[ln(|Z''|)]]-Таблица4[[#This Row],[Предсказанные значения ln(Z'')]])</f>
        <v>0.37915545242958038</v>
      </c>
      <c r="P76" s="6">
        <f>ABS(Таблица4[[#This Row],[Остатки]]/Таблица4[[#This Row],[ln(|Z''|)]])</f>
        <v>0.18233523031538898</v>
      </c>
    </row>
    <row r="77" spans="1:16" x14ac:dyDescent="0.25">
      <c r="A77">
        <v>76</v>
      </c>
      <c r="B77">
        <v>27</v>
      </c>
      <c r="C77">
        <v>247</v>
      </c>
      <c r="D77">
        <v>-4</v>
      </c>
      <c r="E77">
        <f>Таблица4[[#This Row],[Z]]+$R$3</f>
        <v>8</v>
      </c>
      <c r="F77" s="6">
        <f>LN(ABS(B77))</f>
        <v>3.2958368660043291</v>
      </c>
      <c r="G77" s="6">
        <f>LN(ABS(C77))</f>
        <v>5.5093883366279774</v>
      </c>
      <c r="H77" s="6">
        <f t="shared" si="5"/>
        <v>2.0794415416798357</v>
      </c>
      <c r="I77" s="6">
        <f t="shared" si="6"/>
        <v>18.158045188992759</v>
      </c>
      <c r="J77" s="6">
        <f t="shared" si="7"/>
        <v>6.8535000937692807</v>
      </c>
      <c r="K77" s="6">
        <f t="shared" si="8"/>
        <v>11.456450976430588</v>
      </c>
      <c r="L77" s="6">
        <f>$R$10+$R$11*Таблица4[[#This Row],[ln(X)]]+$R$12*Таблица4[[#This Row],[ln(Y)]]</f>
        <v>1.8015434414460358</v>
      </c>
      <c r="M77" s="6">
        <f>EXP($R$10)*Таблица4[[#This Row],[X]]^$R$11*Таблица4[[#This Row],[Y]]^$R$12-$R$3</f>
        <v>-5.9410080494780635</v>
      </c>
      <c r="N77" s="6">
        <f>ABS((Таблица4[[#This Row],[Предсказанные значения Z]]-Таблица4[[#This Row],[Z]])/Таблица4[[#This Row],[Z]])</f>
        <v>0.48525201236951587</v>
      </c>
      <c r="O77" s="6">
        <f>ABS(Таблица4[[#This Row],[ln(|Z''|)]]-Таблица4[[#This Row],[Предсказанные значения ln(Z'')]])</f>
        <v>0.27789810023379991</v>
      </c>
      <c r="P77" s="6">
        <f>ABS(Таблица4[[#This Row],[Остатки]]/Таблица4[[#This Row],[ln(|Z''|)]])</f>
        <v>0.13364073702658907</v>
      </c>
    </row>
    <row r="78" spans="1:16" x14ac:dyDescent="0.25">
      <c r="A78">
        <v>77</v>
      </c>
      <c r="B78" s="3">
        <v>18</v>
      </c>
      <c r="C78" s="3">
        <v>170</v>
      </c>
      <c r="D78" s="3">
        <v>-5</v>
      </c>
      <c r="E78" s="3">
        <f>Таблица4[[#This Row],[Z]]+$R$3</f>
        <v>7</v>
      </c>
      <c r="F78" s="6">
        <f>LN(ABS(B78))</f>
        <v>2.8903717578961645</v>
      </c>
      <c r="G78" s="6">
        <f>LN(ABS(C78))</f>
        <v>5.1357984370502621</v>
      </c>
      <c r="H78" s="6">
        <f t="shared" si="5"/>
        <v>1.9459101490553132</v>
      </c>
      <c r="I78" s="6">
        <f t="shared" si="6"/>
        <v>14.84436675669734</v>
      </c>
      <c r="J78" s="6">
        <f t="shared" si="7"/>
        <v>5.624403738232993</v>
      </c>
      <c r="K78" s="6">
        <f t="shared" si="8"/>
        <v>9.9938023021585209</v>
      </c>
      <c r="L78" s="6">
        <f>$R$10+$R$11*Таблица4[[#This Row],[ln(X)]]+$R$12*Таблица4[[#This Row],[ln(Y)]]</f>
        <v>1.6721400197003575</v>
      </c>
      <c r="M78" s="6">
        <f>EXP($R$10)*Таблица4[[#This Row],[X]]^$R$11*Таблица4[[#This Row],[Y]]^$R$12-$R$3</f>
        <v>-6.6764518863737736</v>
      </c>
      <c r="N78" s="6">
        <f>ABS((Таблица4[[#This Row],[Предсказанные значения Z]]-Таблица4[[#This Row],[Z]])/Таблица4[[#This Row],[Z]])</f>
        <v>0.33529037727475475</v>
      </c>
      <c r="O78" s="6">
        <f>ABS(Таблица4[[#This Row],[ln(|Z''|)]]-Таблица4[[#This Row],[Предсказанные значения ln(Z'')]])</f>
        <v>0.2737701293549557</v>
      </c>
      <c r="P78" s="6">
        <f>ABS(Таблица4[[#This Row],[Остатки]]/Таблица4[[#This Row],[ln(|Z''|)]])</f>
        <v>0.14069001566586398</v>
      </c>
    </row>
    <row r="79" spans="1:16" x14ac:dyDescent="0.25">
      <c r="A79">
        <v>78</v>
      </c>
      <c r="B79">
        <v>42</v>
      </c>
      <c r="C79">
        <v>380</v>
      </c>
      <c r="D79">
        <v>-7</v>
      </c>
      <c r="E79">
        <f>Таблица4[[#This Row],[Z]]+$R$3</f>
        <v>5</v>
      </c>
      <c r="F79" s="6">
        <f>LN(ABS(B79))</f>
        <v>3.7376696182833684</v>
      </c>
      <c r="G79" s="6">
        <f>LN(ABS(C79))</f>
        <v>5.9401712527204316</v>
      </c>
      <c r="H79" s="6">
        <f t="shared" si="5"/>
        <v>1.6094379124341003</v>
      </c>
      <c r="I79" s="6">
        <f t="shared" si="6"/>
        <v>22.202397618693414</v>
      </c>
      <c r="J79" s="6">
        <f t="shared" si="7"/>
        <v>6.0155471878183446</v>
      </c>
      <c r="K79" s="6">
        <f t="shared" si="8"/>
        <v>9.5603368204794261</v>
      </c>
      <c r="L79" s="6">
        <f>$R$10+$R$11*Таблица4[[#This Row],[ln(X)]]+$R$12*Таблица4[[#This Row],[ln(Y)]]</f>
        <v>1.7605390981404128</v>
      </c>
      <c r="M79" s="6">
        <f>EXP($R$10)*Таблица4[[#This Row],[X]]^$R$11*Таблица4[[#This Row],[Y]]^$R$12-$R$3</f>
        <v>-6.1844282866299709</v>
      </c>
      <c r="N79" s="6">
        <f>ABS((Таблица4[[#This Row],[Предсказанные значения Z]]-Таблица4[[#This Row],[Z]])/Таблица4[[#This Row],[Z]])</f>
        <v>0.11651024476714701</v>
      </c>
      <c r="O79" s="6">
        <f>ABS(Таблица4[[#This Row],[ln(|Z''|)]]-Таблица4[[#This Row],[Предсказанные значения ln(Z'')]])</f>
        <v>0.15110118570631248</v>
      </c>
      <c r="P79" s="6">
        <f>ABS(Таблица4[[#This Row],[Остатки]]/Таблица4[[#This Row],[ln(|Z''|)]])</f>
        <v>9.3884445332711425E-2</v>
      </c>
    </row>
    <row r="80" spans="1:16" x14ac:dyDescent="0.25">
      <c r="A80">
        <v>79</v>
      </c>
      <c r="B80" s="3">
        <v>24</v>
      </c>
      <c r="C80" s="3">
        <v>221</v>
      </c>
      <c r="D80" s="3">
        <v>-8</v>
      </c>
      <c r="E80" s="3">
        <f>Таблица4[[#This Row],[Z]]+$R$3</f>
        <v>4</v>
      </c>
      <c r="F80" s="6">
        <f>LN(ABS(B80))</f>
        <v>3.1780538303479458</v>
      </c>
      <c r="G80" s="6">
        <f>LN(ABS(C80))</f>
        <v>5.3981627015177525</v>
      </c>
      <c r="H80" s="6">
        <f t="shared" si="5"/>
        <v>1.3862943611198906</v>
      </c>
      <c r="I80" s="6">
        <f t="shared" si="6"/>
        <v>17.155651650399907</v>
      </c>
      <c r="J80" s="6">
        <f t="shared" si="7"/>
        <v>4.4057181043468265</v>
      </c>
      <c r="K80" s="6">
        <f t="shared" si="8"/>
        <v>7.4834425135217755</v>
      </c>
      <c r="L80" s="6">
        <f>$R$10+$R$11*Таблица4[[#This Row],[ln(X)]]+$R$12*Таблица4[[#This Row],[ln(Y)]]</f>
        <v>1.7847179834108786</v>
      </c>
      <c r="M80" s="6">
        <f>EXP($R$10)*Таблица4[[#This Row],[X]]^$R$11*Таблица4[[#This Row],[Y]]^$R$12-$R$3</f>
        <v>-6.0421005158564265</v>
      </c>
      <c r="N80" s="6">
        <f>ABS((Таблица4[[#This Row],[Предсказанные значения Z]]-Таблица4[[#This Row],[Z]])/Таблица4[[#This Row],[Z]])</f>
        <v>0.24473743551794669</v>
      </c>
      <c r="O80" s="6">
        <f>ABS(Таблица4[[#This Row],[ln(|Z''|)]]-Таблица4[[#This Row],[Предсказанные значения ln(Z'')]])</f>
        <v>0.39842362229098804</v>
      </c>
      <c r="P80" s="6">
        <f>ABS(Таблица4[[#This Row],[Остатки]]/Таблица4[[#This Row],[ln(|Z''|)]])</f>
        <v>0.28740189202611294</v>
      </c>
    </row>
    <row r="81" spans="1:16" x14ac:dyDescent="0.25">
      <c r="A81">
        <v>80</v>
      </c>
      <c r="B81">
        <v>31</v>
      </c>
      <c r="C81">
        <v>287</v>
      </c>
      <c r="D81">
        <v>-10</v>
      </c>
      <c r="E81">
        <f>Таблица4[[#This Row],[Z]]+$R$3</f>
        <v>2</v>
      </c>
      <c r="F81" s="6">
        <f>LN(ABS(B81))</f>
        <v>3.4339872044851463</v>
      </c>
      <c r="G81" s="6">
        <f>LN(ABS(C81))</f>
        <v>5.6594822157596214</v>
      </c>
      <c r="H81" s="6">
        <f t="shared" si="5"/>
        <v>0.69314718055994529</v>
      </c>
      <c r="I81" s="6">
        <f t="shared" si="6"/>
        <v>19.434589512929783</v>
      </c>
      <c r="J81" s="6">
        <f t="shared" si="7"/>
        <v>2.3802585488678076</v>
      </c>
      <c r="K81" s="6">
        <f t="shared" si="8"/>
        <v>3.9228541412829334</v>
      </c>
      <c r="L81" s="6">
        <f>$R$10+$R$11*Таблица4[[#This Row],[ln(X)]]+$R$12*Таблица4[[#This Row],[ln(Y)]]</f>
        <v>1.670384485077399</v>
      </c>
      <c r="M81" s="6">
        <f>EXP($R$10)*Таблица4[[#This Row],[X]]^$R$11*Таблица4[[#This Row],[Y]]^$R$12-$R$3</f>
        <v>-6.6857893608762415</v>
      </c>
      <c r="N81" s="6">
        <f>ABS((Таблица4[[#This Row],[Предсказанные значения Z]]-Таблица4[[#This Row],[Z]])/Таблица4[[#This Row],[Z]])</f>
        <v>0.33142106391237586</v>
      </c>
      <c r="O81" s="6">
        <f>ABS(Таблица4[[#This Row],[ln(|Z''|)]]-Таблица4[[#This Row],[Предсказанные значения ln(Z'')]])</f>
        <v>0.97723730451745372</v>
      </c>
      <c r="P81" s="6">
        <f>ABS(Таблица4[[#This Row],[Остатки]]/Таблица4[[#This Row],[ln(|Z''|)]])</f>
        <v>1.4098554129990284</v>
      </c>
    </row>
    <row r="82" spans="1:16" x14ac:dyDescent="0.25">
      <c r="A82">
        <v>81</v>
      </c>
      <c r="B82" s="3">
        <v>27</v>
      </c>
      <c r="C82" s="3">
        <v>244</v>
      </c>
      <c r="D82" s="3">
        <v>-5</v>
      </c>
      <c r="E82" s="3">
        <f>Таблица4[[#This Row],[Z]]+$R$3</f>
        <v>7</v>
      </c>
      <c r="F82" s="6">
        <f>LN(ABS(B82))</f>
        <v>3.2958368660043291</v>
      </c>
      <c r="G82" s="6">
        <f>LN(ABS(C82))</f>
        <v>5.4971682252932021</v>
      </c>
      <c r="H82" s="6">
        <f t="shared" si="5"/>
        <v>1.9459101490553132</v>
      </c>
      <c r="I82" s="6">
        <f t="shared" si="6"/>
        <v>18.117769695548926</v>
      </c>
      <c r="J82" s="6">
        <f t="shared" si="7"/>
        <v>6.4134024071884808</v>
      </c>
      <c r="K82" s="6">
        <f t="shared" si="8"/>
        <v>10.696995440662427</v>
      </c>
      <c r="L82" s="6">
        <f>$R$10+$R$11*Таблица4[[#This Row],[ln(X)]]+$R$12*Таблица4[[#This Row],[ln(Y)]]</f>
        <v>1.8954549970537826</v>
      </c>
      <c r="M82" s="6">
        <f>EXP($R$10)*Таблица4[[#This Row],[X]]^$R$11*Таблица4[[#This Row],[Y]]^$R$12-$R$3</f>
        <v>-5.3444240167254486</v>
      </c>
      <c r="N82" s="6">
        <f>ABS((Таблица4[[#This Row],[Предсказанные значения Z]]-Таблица4[[#This Row],[Z]])/Таблица4[[#This Row],[Z]])</f>
        <v>6.8884803345089729E-2</v>
      </c>
      <c r="O82" s="6">
        <f>ABS(Таблица4[[#This Row],[ln(|Z''|)]]-Таблица4[[#This Row],[Предсказанные значения ln(Z'')]])</f>
        <v>5.0455152001530612E-2</v>
      </c>
      <c r="P82" s="6">
        <f>ABS(Таблица4[[#This Row],[Остатки]]/Таблица4[[#This Row],[ln(|Z''|)]])</f>
        <v>2.5928818977600392E-2</v>
      </c>
    </row>
    <row r="83" spans="1:16" x14ac:dyDescent="0.25">
      <c r="A83">
        <v>82</v>
      </c>
      <c r="B83">
        <v>34</v>
      </c>
      <c r="C83">
        <v>313</v>
      </c>
      <c r="D83">
        <v>-6</v>
      </c>
      <c r="E83">
        <f>Таблица4[[#This Row],[Z]]+$R$3</f>
        <v>6</v>
      </c>
      <c r="F83" s="6">
        <f>LN(ABS(B83))</f>
        <v>3.5263605246161616</v>
      </c>
      <c r="G83" s="6">
        <f>LN(ABS(C83))</f>
        <v>5.7462031905401529</v>
      </c>
      <c r="H83" s="6">
        <f t="shared" si="5"/>
        <v>1.791759469228055</v>
      </c>
      <c r="I83" s="6">
        <f t="shared" si="6"/>
        <v>20.263184097544237</v>
      </c>
      <c r="J83" s="6">
        <f t="shared" si="7"/>
        <v>6.318389861893019</v>
      </c>
      <c r="K83" s="6">
        <f t="shared" si="8"/>
        <v>10.29581397875878</v>
      </c>
      <c r="L83" s="6">
        <f>$R$10+$R$11*Таблица4[[#This Row],[ln(X)]]+$R$12*Таблица4[[#This Row],[ln(Y)]]</f>
        <v>1.6874963628585178</v>
      </c>
      <c r="M83" s="6">
        <f>EXP($R$10)*Таблица4[[#This Row],[X]]^$R$11*Таблица4[[#This Row],[Y]]^$R$12-$R$3</f>
        <v>-6.5940707370241443</v>
      </c>
      <c r="N83" s="6">
        <f>ABS((Таблица4[[#This Row],[Предсказанные значения Z]]-Таблица4[[#This Row],[Z]])/Таблица4[[#This Row],[Z]])</f>
        <v>9.9011789504024048E-2</v>
      </c>
      <c r="O83" s="6">
        <f>ABS(Таблица4[[#This Row],[ln(|Z''|)]]-Таблица4[[#This Row],[Предсказанные значения ln(Z'')]])</f>
        <v>0.10426310636953717</v>
      </c>
      <c r="P83" s="6">
        <f>ABS(Таблица4[[#This Row],[Остатки]]/Таблица4[[#This Row],[ln(|Z''|)]])</f>
        <v>5.819034762208173E-2</v>
      </c>
    </row>
    <row r="84" spans="1:16" x14ac:dyDescent="0.25">
      <c r="A84">
        <v>83</v>
      </c>
      <c r="B84" s="3">
        <v>24</v>
      </c>
      <c r="C84" s="3">
        <v>219</v>
      </c>
      <c r="D84" s="3">
        <v>-5</v>
      </c>
      <c r="E84" s="3">
        <f>Таблица4[[#This Row],[Z]]+$R$3</f>
        <v>7</v>
      </c>
      <c r="F84" s="6">
        <f>LN(ABS(B84))</f>
        <v>3.1780538303479458</v>
      </c>
      <c r="G84" s="6">
        <f>LN(ABS(C84))</f>
        <v>5.389071729816501</v>
      </c>
      <c r="H84" s="6">
        <f t="shared" si="5"/>
        <v>1.9459101490553132</v>
      </c>
      <c r="I84" s="6">
        <f t="shared" si="6"/>
        <v>17.12676005296316</v>
      </c>
      <c r="J84" s="6">
        <f t="shared" si="7"/>
        <v>6.1842072027181807</v>
      </c>
      <c r="K84" s="6">
        <f t="shared" si="8"/>
        <v>10.486649373037002</v>
      </c>
      <c r="L84" s="6">
        <f>$R$10+$R$11*Таблица4[[#This Row],[ln(X)]]+$R$12*Таблица4[[#This Row],[ln(Y)]]</f>
        <v>1.8545821009349979</v>
      </c>
      <c r="M84" s="6">
        <f>EXP($R$10)*Таблица4[[#This Row],[X]]^$R$11*Таблица4[[#This Row],[Y]]^$R$12-$R$3</f>
        <v>-5.6109722760576677</v>
      </c>
      <c r="N84" s="6">
        <f>ABS((Таблица4[[#This Row],[Предсказанные значения Z]]-Таблица4[[#This Row],[Z]])/Таблица4[[#This Row],[Z]])</f>
        <v>0.12219445521153353</v>
      </c>
      <c r="O84" s="6">
        <f>ABS(Таблица4[[#This Row],[ln(|Z''|)]]-Таблица4[[#This Row],[Предсказанные значения ln(Z'')]])</f>
        <v>9.1328048120315364E-2</v>
      </c>
      <c r="P84" s="6">
        <f>ABS(Таблица4[[#This Row],[Остатки]]/Таблица4[[#This Row],[ln(|Z''|)]])</f>
        <v>4.6933332540894893E-2</v>
      </c>
    </row>
    <row r="85" spans="1:16" x14ac:dyDescent="0.25">
      <c r="A85">
        <v>84</v>
      </c>
      <c r="B85">
        <v>43</v>
      </c>
      <c r="C85">
        <v>392</v>
      </c>
      <c r="D85">
        <v>-5</v>
      </c>
      <c r="E85">
        <f>Таблица4[[#This Row],[Z]]+$R$3</f>
        <v>7</v>
      </c>
      <c r="F85" s="6">
        <f>LN(ABS(B85))</f>
        <v>3.7612001156935624</v>
      </c>
      <c r="G85" s="6">
        <f>LN(ABS(C85))</f>
        <v>5.9712618397904622</v>
      </c>
      <c r="H85" s="6">
        <f t="shared" si="5"/>
        <v>1.9459101490553132</v>
      </c>
      <c r="I85" s="6">
        <f t="shared" si="6"/>
        <v>22.45911072265644</v>
      </c>
      <c r="J85" s="6">
        <f t="shared" si="7"/>
        <v>7.318957477756121</v>
      </c>
      <c r="K85" s="6">
        <f t="shared" si="8"/>
        <v>11.619539016714961</v>
      </c>
      <c r="L85" s="6">
        <f>$R$10+$R$11*Таблица4[[#This Row],[ln(X)]]+$R$12*Таблица4[[#This Row],[ln(Y)]]</f>
        <v>1.6957336173426611</v>
      </c>
      <c r="M85" s="6">
        <f>EXP($R$10)*Таблица4[[#This Row],[X]]^$R$11*Таблица4[[#This Row],[Y]]^$R$12-$R$3</f>
        <v>-6.549356814812092</v>
      </c>
      <c r="N85" s="6">
        <f>ABS((Таблица4[[#This Row],[Предсказанные значения Z]]-Таблица4[[#This Row],[Z]])/Таблица4[[#This Row],[Z]])</f>
        <v>0.30987136296241841</v>
      </c>
      <c r="O85" s="6">
        <f>ABS(Таблица4[[#This Row],[ln(|Z''|)]]-Таблица4[[#This Row],[Предсказанные значения ln(Z'')]])</f>
        <v>0.25017653171265208</v>
      </c>
      <c r="P85" s="6">
        <f>ABS(Таблица4[[#This Row],[Остатки]]/Таблица4[[#This Row],[ln(|Z''|)]])</f>
        <v>0.12856530494694526</v>
      </c>
    </row>
    <row r="86" spans="1:16" x14ac:dyDescent="0.25">
      <c r="A86">
        <v>85</v>
      </c>
      <c r="B86" s="3">
        <v>46</v>
      </c>
      <c r="C86" s="3">
        <v>415</v>
      </c>
      <c r="D86" s="3">
        <v>-4</v>
      </c>
      <c r="E86" s="3">
        <f>Таблица4[[#This Row],[Z]]+$R$3</f>
        <v>8</v>
      </c>
      <c r="F86" s="6">
        <f>LN(ABS(B86))</f>
        <v>3.8286413964890951</v>
      </c>
      <c r="G86" s="6">
        <f>LN(ABS(C86))</f>
        <v>6.0282785202306979</v>
      </c>
      <c r="H86" s="6">
        <f t="shared" si="5"/>
        <v>2.0794415416798357</v>
      </c>
      <c r="I86" s="6">
        <f t="shared" si="6"/>
        <v>23.080116692121276</v>
      </c>
      <c r="J86" s="6">
        <f t="shared" si="7"/>
        <v>7.9614359680545235</v>
      </c>
      <c r="K86" s="6">
        <f t="shared" si="8"/>
        <v>12.535452779783961</v>
      </c>
      <c r="L86" s="6">
        <f>$R$10+$R$11*Таблица4[[#This Row],[ln(X)]]+$R$12*Таблица4[[#This Row],[ln(Y)]]</f>
        <v>1.7566259060463878</v>
      </c>
      <c r="M86" s="6">
        <f>EXP($R$10)*Таблица4[[#This Row],[X]]^$R$11*Таблица4[[#This Row],[Y]]^$R$12-$R$3</f>
        <v>-6.2071412667700221</v>
      </c>
      <c r="N86" s="6">
        <f>ABS((Таблица4[[#This Row],[Предсказанные значения Z]]-Таблица4[[#This Row],[Z]])/Таблица4[[#This Row],[Z]])</f>
        <v>0.55178531669250552</v>
      </c>
      <c r="O86" s="6">
        <f>ABS(Таблица4[[#This Row],[ln(|Z''|)]]-Таблица4[[#This Row],[Предсказанные значения ln(Z'')]])</f>
        <v>0.32281563563344795</v>
      </c>
      <c r="P86" s="6">
        <f>ABS(Таблица4[[#This Row],[Остатки]]/Таблица4[[#This Row],[ln(|Z''|)]])</f>
        <v>0.15524150554993132</v>
      </c>
    </row>
    <row r="87" spans="1:16" x14ac:dyDescent="0.25">
      <c r="A87">
        <v>86</v>
      </c>
      <c r="B87">
        <v>37</v>
      </c>
      <c r="C87">
        <v>341</v>
      </c>
      <c r="D87">
        <v>-8</v>
      </c>
      <c r="E87">
        <f>Таблица4[[#This Row],[Z]]+$R$3</f>
        <v>4</v>
      </c>
      <c r="F87" s="6">
        <f>LN(ABS(B87))</f>
        <v>3.6109179126442243</v>
      </c>
      <c r="G87" s="6">
        <f>LN(ABS(C87))</f>
        <v>5.8318824772835169</v>
      </c>
      <c r="H87" s="6">
        <f t="shared" si="5"/>
        <v>1.3862943611198906</v>
      </c>
      <c r="I87" s="6">
        <f t="shared" si="6"/>
        <v>21.058448901659027</v>
      </c>
      <c r="J87" s="6">
        <f t="shared" si="7"/>
        <v>5.0057951407654935</v>
      </c>
      <c r="K87" s="6">
        <f t="shared" si="8"/>
        <v>8.0847057929720378</v>
      </c>
      <c r="L87" s="6">
        <f>$R$10+$R$11*Таблица4[[#This Row],[ln(X)]]+$R$12*Таблица4[[#This Row],[ln(Y)]]</f>
        <v>1.6547757156434315</v>
      </c>
      <c r="M87" s="6">
        <f>EXP($R$10)*Таблица4[[#This Row],[X]]^$R$11*Таблица4[[#This Row],[Y]]^$R$12-$R$3</f>
        <v>-6.7680936441739421</v>
      </c>
      <c r="N87" s="6">
        <f>ABS((Таблица4[[#This Row],[Предсказанные значения Z]]-Таблица4[[#This Row],[Z]])/Таблица4[[#This Row],[Z]])</f>
        <v>0.15398829447825724</v>
      </c>
      <c r="O87" s="6">
        <f>ABS(Таблица4[[#This Row],[ln(|Z''|)]]-Таблица4[[#This Row],[Предсказанные значения ln(Z'')]])</f>
        <v>0.26848135452354094</v>
      </c>
      <c r="P87" s="6">
        <f>ABS(Таблица4[[#This Row],[Остатки]]/Таблица4[[#This Row],[ln(|Z''|)]])</f>
        <v>0.19366835937113208</v>
      </c>
    </row>
    <row r="88" spans="1:16" x14ac:dyDescent="0.25">
      <c r="A88">
        <v>87</v>
      </c>
      <c r="B88" s="3">
        <v>35</v>
      </c>
      <c r="C88" s="3">
        <v>321</v>
      </c>
      <c r="D88" s="3">
        <v>-6</v>
      </c>
      <c r="E88" s="3">
        <f>Таблица4[[#This Row],[Z]]+$R$3</f>
        <v>6</v>
      </c>
      <c r="F88" s="6">
        <f>LN(ABS(B88))</f>
        <v>3.5553480614894135</v>
      </c>
      <c r="G88" s="6">
        <f>LN(ABS(C88))</f>
        <v>5.7714411231300158</v>
      </c>
      <c r="H88" s="6">
        <f t="shared" si="5"/>
        <v>1.791759469228055</v>
      </c>
      <c r="I88" s="6">
        <f t="shared" si="6"/>
        <v>20.519482009120583</v>
      </c>
      <c r="J88" s="6">
        <f t="shared" si="7"/>
        <v>6.3703285555752656</v>
      </c>
      <c r="K88" s="6">
        <f t="shared" si="8"/>
        <v>10.341034283460406</v>
      </c>
      <c r="L88" s="6">
        <f>$R$10+$R$11*Таблица4[[#This Row],[ln(X)]]+$R$12*Таблица4[[#This Row],[ln(Y)]]</f>
        <v>1.708050623767484</v>
      </c>
      <c r="M88" s="6">
        <f>EXP($R$10)*Таблица4[[#This Row],[X]]^$R$11*Таблица4[[#This Row],[Y]]^$R$12-$R$3</f>
        <v>-6.4818060500798804</v>
      </c>
      <c r="N88" s="6">
        <f>ABS((Таблица4[[#This Row],[Предсказанные значения Z]]-Таблица4[[#This Row],[Z]])/Таблица4[[#This Row],[Z]])</f>
        <v>8.0301008346646732E-2</v>
      </c>
      <c r="O88" s="6">
        <f>ABS(Таблица4[[#This Row],[ln(|Z''|)]]-Таблица4[[#This Row],[Предсказанные значения ln(Z'')]])</f>
        <v>8.3708845460571002E-2</v>
      </c>
      <c r="P88" s="6">
        <f>ABS(Таблица4[[#This Row],[Остатки]]/Таблица4[[#This Row],[ln(|Z''|)]])</f>
        <v>4.6718796187880815E-2</v>
      </c>
    </row>
    <row r="89" spans="1:16" x14ac:dyDescent="0.25">
      <c r="A89">
        <v>88</v>
      </c>
      <c r="B89">
        <v>28</v>
      </c>
      <c r="C89">
        <v>255</v>
      </c>
      <c r="D89">
        <v>-7</v>
      </c>
      <c r="E89">
        <f>Таблица4[[#This Row],[Z]]+$R$3</f>
        <v>5</v>
      </c>
      <c r="F89" s="6">
        <f>LN(ABS(B89))</f>
        <v>3.3322045101752038</v>
      </c>
      <c r="G89" s="6">
        <f>LN(ABS(C89))</f>
        <v>5.5412635451584258</v>
      </c>
      <c r="H89" s="6">
        <f t="shared" si="5"/>
        <v>1.6094379124341003</v>
      </c>
      <c r="I89" s="6">
        <f t="shared" si="6"/>
        <v>18.464623377246344</v>
      </c>
      <c r="J89" s="6">
        <f t="shared" si="7"/>
        <v>5.3629762706598738</v>
      </c>
      <c r="K89" s="6">
        <f t="shared" si="8"/>
        <v>8.9183196323669591</v>
      </c>
      <c r="L89" s="6">
        <f>$R$10+$R$11*Таблица4[[#This Row],[ln(X)]]+$R$12*Таблица4[[#This Row],[ln(Y)]]</f>
        <v>1.8257030307540134</v>
      </c>
      <c r="M89" s="6">
        <f>EXP($R$10)*Таблица4[[#This Row],[X]]^$R$11*Таблица4[[#This Row],[Y]]^$R$12-$R$3</f>
        <v>-5.7928426920039344</v>
      </c>
      <c r="N89" s="6">
        <f>ABS((Таблица4[[#This Row],[Предсказанные значения Z]]-Таблица4[[#This Row],[Z]])/Таблица4[[#This Row],[Z]])</f>
        <v>0.17245104399943795</v>
      </c>
      <c r="O89" s="6">
        <f>ABS(Таблица4[[#This Row],[ln(|Z''|)]]-Таблица4[[#This Row],[Предсказанные значения ln(Z'')]])</f>
        <v>0.21626511831991313</v>
      </c>
      <c r="P89" s="6">
        <f>ABS(Таблица4[[#This Row],[Остатки]]/Таблица4[[#This Row],[ln(|Z''|)]])</f>
        <v>0.13437307313882993</v>
      </c>
    </row>
    <row r="90" spans="1:16" x14ac:dyDescent="0.25">
      <c r="A90">
        <v>89</v>
      </c>
      <c r="B90" s="3">
        <v>22</v>
      </c>
      <c r="C90" s="3">
        <v>206</v>
      </c>
      <c r="D90" s="3">
        <v>-1</v>
      </c>
      <c r="E90" s="3">
        <f>Таблица4[[#This Row],[Z]]+$R$3</f>
        <v>11</v>
      </c>
      <c r="F90" s="6">
        <f>LN(ABS(B90))</f>
        <v>3.0910424533583161</v>
      </c>
      <c r="G90" s="6">
        <f>LN(ABS(C90))</f>
        <v>5.3278761687895813</v>
      </c>
      <c r="H90" s="6">
        <f t="shared" si="5"/>
        <v>2.3978952727983707</v>
      </c>
      <c r="I90" s="6">
        <f t="shared" si="6"/>
        <v>16.468691423964653</v>
      </c>
      <c r="J90" s="6">
        <f t="shared" si="7"/>
        <v>7.4119960869269841</v>
      </c>
      <c r="K90" s="6">
        <f t="shared" si="8"/>
        <v>12.775689079195631</v>
      </c>
      <c r="L90" s="6">
        <f>$R$10+$R$11*Таблица4[[#This Row],[ln(X)]]+$R$12*Таблица4[[#This Row],[ln(Y)]]</f>
        <v>1.680985797703606</v>
      </c>
      <c r="M90" s="6">
        <f>EXP($R$10)*Таблица4[[#This Row],[X]]^$R$11*Таблица4[[#This Row],[Y]]^$R$12-$R$3</f>
        <v>-6.6291520681502982</v>
      </c>
      <c r="N90" s="6">
        <f>ABS((Таблица4[[#This Row],[Предсказанные значения Z]]-Таблица4[[#This Row],[Z]])/Таблица4[[#This Row],[Z]])</f>
        <v>5.6291520681502982</v>
      </c>
      <c r="O90" s="6">
        <f>ABS(Таблица4[[#This Row],[ln(|Z''|)]]-Таблица4[[#This Row],[Предсказанные значения ln(Z'')]])</f>
        <v>0.71690947509476466</v>
      </c>
      <c r="P90" s="6">
        <f>ABS(Таблица4[[#This Row],[Остатки]]/Таблица4[[#This Row],[ln(|Z''|)]])</f>
        <v>0.29897447283347084</v>
      </c>
    </row>
    <row r="91" spans="1:16" x14ac:dyDescent="0.25">
      <c r="A91">
        <v>90</v>
      </c>
      <c r="B91">
        <v>35</v>
      </c>
      <c r="C91">
        <v>324</v>
      </c>
      <c r="D91">
        <v>-10</v>
      </c>
      <c r="E91">
        <f>Таблица4[[#This Row],[Z]]+$R$3</f>
        <v>2</v>
      </c>
      <c r="F91" s="6">
        <f>LN(ABS(B91))</f>
        <v>3.5553480614894135</v>
      </c>
      <c r="G91" s="6">
        <f>LN(ABS(C91))</f>
        <v>5.780743515792329</v>
      </c>
      <c r="H91" s="6">
        <f t="shared" si="5"/>
        <v>0.69314718055994529</v>
      </c>
      <c r="I91" s="6">
        <f t="shared" si="6"/>
        <v>20.552555252839753</v>
      </c>
      <c r="J91" s="6">
        <f t="shared" si="7"/>
        <v>2.4643794847306539</v>
      </c>
      <c r="K91" s="6">
        <f t="shared" si="8"/>
        <v>4.0069060695116381</v>
      </c>
      <c r="L91" s="6">
        <f>$R$10+$R$11*Таблица4[[#This Row],[ln(X)]]+$R$12*Таблица4[[#This Row],[ln(Y)]]</f>
        <v>1.6365617361576099</v>
      </c>
      <c r="M91" s="6">
        <f>EXP($R$10)*Таблица4[[#This Row],[X]]^$R$11*Таблица4[[#This Row],[Y]]^$R$12-$R$3</f>
        <v>-6.8625248842673336</v>
      </c>
      <c r="N91" s="6">
        <f>ABS((Таблица4[[#This Row],[Предсказанные значения Z]]-Таблица4[[#This Row],[Z]])/Таблица4[[#This Row],[Z]])</f>
        <v>0.31374751157326664</v>
      </c>
      <c r="O91" s="6">
        <f>ABS(Таблица4[[#This Row],[ln(|Z''|)]]-Таблица4[[#This Row],[Предсказанные значения ln(Z'')]])</f>
        <v>0.94341455559766463</v>
      </c>
      <c r="P91" s="6">
        <f>ABS(Таблица4[[#This Row],[Остатки]]/Таблица4[[#This Row],[ln(|Z''|)]])</f>
        <v>1.361059500863216</v>
      </c>
    </row>
    <row r="92" spans="1:16" x14ac:dyDescent="0.25">
      <c r="A92" t="s">
        <v>68</v>
      </c>
      <c r="E92">
        <f t="shared" ref="E92:J92" si="9">SUM(F2:F91)</f>
        <v>318.80765242830648</v>
      </c>
      <c r="F92">
        <f t="shared" si="9"/>
        <v>518.01164818033863</v>
      </c>
      <c r="G92">
        <f t="shared" si="9"/>
        <v>155.8267261507705</v>
      </c>
      <c r="H92">
        <f t="shared" si="9"/>
        <v>1841.3014994938389</v>
      </c>
      <c r="I92">
        <f t="shared" si="9"/>
        <v>550.82215864532202</v>
      </c>
      <c r="J92">
        <f t="shared" si="9"/>
        <v>895.69262676271967</v>
      </c>
      <c r="K92">
        <f>SUM(M2:M91)</f>
        <v>-569.30806782084278</v>
      </c>
    </row>
    <row r="93" spans="1:16" x14ac:dyDescent="0.25">
      <c r="A93" t="s">
        <v>69</v>
      </c>
      <c r="E93" s="6">
        <f>SUMSQ(F2:F91)</f>
        <v>1135.7469615682196</v>
      </c>
      <c r="F93" s="6">
        <f>SUMSQ(G2:G91)</f>
        <v>2987.7772476208838</v>
      </c>
      <c r="G93" s="6">
        <f>SUMSQ(H2:H91)</f>
        <v>298.35915423193296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2B6F-162D-4E1A-A393-EC9B1C51F037}">
  <dimension ref="A1:K18"/>
  <sheetViews>
    <sheetView workbookViewId="0">
      <selection activeCell="B9" sqref="B9"/>
    </sheetView>
  </sheetViews>
  <sheetFormatPr defaultRowHeight="15" x14ac:dyDescent="0.25"/>
  <cols>
    <col min="1" max="1" width="24.85546875" bestFit="1" customWidth="1"/>
  </cols>
  <sheetData>
    <row r="1" spans="1:11" x14ac:dyDescent="0.25">
      <c r="A1" t="s">
        <v>10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J1" s="4" t="s">
        <v>86</v>
      </c>
      <c r="K1" s="4">
        <f>SUM(Таблица5[[#Totals],[F1]:[F7]])^2</f>
        <v>4100625</v>
      </c>
    </row>
    <row r="2" spans="1:11" x14ac:dyDescent="0.25">
      <c r="A2">
        <v>1</v>
      </c>
      <c r="B2">
        <v>71</v>
      </c>
      <c r="C2">
        <v>71</v>
      </c>
      <c r="D2">
        <v>83</v>
      </c>
      <c r="E2">
        <v>70</v>
      </c>
      <c r="F2">
        <v>70</v>
      </c>
      <c r="G2">
        <v>70</v>
      </c>
      <c r="H2">
        <v>84</v>
      </c>
      <c r="J2" s="4" t="s">
        <v>80</v>
      </c>
      <c r="K2" s="4">
        <f>SUM(B7:H7)</f>
        <v>147333</v>
      </c>
    </row>
    <row r="3" spans="1:11" x14ac:dyDescent="0.25">
      <c r="A3">
        <v>2</v>
      </c>
      <c r="B3">
        <v>75</v>
      </c>
      <c r="C3">
        <v>72</v>
      </c>
      <c r="D3">
        <v>77</v>
      </c>
      <c r="E3">
        <v>79</v>
      </c>
      <c r="F3">
        <v>63</v>
      </c>
      <c r="G3">
        <v>72</v>
      </c>
      <c r="H3">
        <v>75</v>
      </c>
      <c r="J3" s="4" t="s">
        <v>82</v>
      </c>
      <c r="K3" s="4">
        <v>4</v>
      </c>
    </row>
    <row r="4" spans="1:11" x14ac:dyDescent="0.25">
      <c r="A4">
        <v>3</v>
      </c>
      <c r="B4">
        <v>79</v>
      </c>
      <c r="C4">
        <v>75</v>
      </c>
      <c r="D4">
        <v>66</v>
      </c>
      <c r="E4">
        <v>71</v>
      </c>
      <c r="F4">
        <v>77</v>
      </c>
      <c r="G4">
        <v>68</v>
      </c>
      <c r="H4">
        <v>69</v>
      </c>
      <c r="J4" s="4" t="s">
        <v>83</v>
      </c>
      <c r="K4" s="4">
        <v>7</v>
      </c>
    </row>
    <row r="5" spans="1:11" x14ac:dyDescent="0.25">
      <c r="A5">
        <v>4</v>
      </c>
      <c r="B5">
        <v>72</v>
      </c>
      <c r="C5">
        <v>61</v>
      </c>
      <c r="D5">
        <v>76</v>
      </c>
      <c r="E5">
        <v>77</v>
      </c>
      <c r="F5">
        <v>62</v>
      </c>
      <c r="G5">
        <v>67</v>
      </c>
      <c r="H5">
        <v>73</v>
      </c>
      <c r="J5" s="5" t="s">
        <v>88</v>
      </c>
      <c r="K5" s="4">
        <f>K3*K4</f>
        <v>28</v>
      </c>
    </row>
    <row r="6" spans="1:11" x14ac:dyDescent="0.25">
      <c r="A6" t="s">
        <v>68</v>
      </c>
      <c r="B6">
        <f>SUM(Таблица5[F1])</f>
        <v>297</v>
      </c>
      <c r="C6">
        <f>SUM(Таблица5[F2])</f>
        <v>279</v>
      </c>
      <c r="D6">
        <f>SUM(Таблица5[F3])</f>
        <v>302</v>
      </c>
      <c r="E6">
        <f>SUM(Таблица5[F4])</f>
        <v>297</v>
      </c>
      <c r="F6">
        <f>SUM(Таблица5[F5])</f>
        <v>272</v>
      </c>
      <c r="G6">
        <f>SUM(Таблица5[F6])</f>
        <v>277</v>
      </c>
      <c r="H6">
        <f>SUM(Таблица5[F7])</f>
        <v>301</v>
      </c>
      <c r="J6" s="4" t="s">
        <v>84</v>
      </c>
      <c r="K6" s="4">
        <v>0.05</v>
      </c>
    </row>
    <row r="7" spans="1:11" x14ac:dyDescent="0.25">
      <c r="A7" t="s">
        <v>69</v>
      </c>
      <c r="B7">
        <f>SUMSQ(Таблица5[F1])</f>
        <v>22091</v>
      </c>
      <c r="C7">
        <f>SUMSQ(Таблица5[F2])</f>
        <v>19571</v>
      </c>
      <c r="D7">
        <f>SUMSQ(Таблица5[F3])</f>
        <v>22950</v>
      </c>
      <c r="E7">
        <f>SUMSQ(Таблица5[F4])</f>
        <v>22111</v>
      </c>
      <c r="F7">
        <f>SUMSQ(Таблица5[F5])</f>
        <v>18642</v>
      </c>
      <c r="G7">
        <f>SUMSQ(Таблица5[F6])</f>
        <v>19197</v>
      </c>
      <c r="H7">
        <f>SUMSQ(Таблица5[F7])</f>
        <v>22771</v>
      </c>
    </row>
    <row r="9" spans="1:11" x14ac:dyDescent="0.25">
      <c r="A9" s="4" t="s">
        <v>81</v>
      </c>
      <c r="B9" s="10">
        <f>K2-K1/K5</f>
        <v>882.10714285713038</v>
      </c>
    </row>
    <row r="10" spans="1:11" x14ac:dyDescent="0.25">
      <c r="A10" s="4" t="s">
        <v>85</v>
      </c>
      <c r="B10" s="10">
        <f>SUMSQ(Таблица5[[#Totals],[F1]:[F7]])/K3-K1/K5</f>
        <v>243.35714285713038</v>
      </c>
    </row>
    <row r="11" spans="1:11" x14ac:dyDescent="0.25">
      <c r="A11" s="4" t="s">
        <v>87</v>
      </c>
      <c r="B11" s="10">
        <f>B9-B10</f>
        <v>638.75</v>
      </c>
    </row>
    <row r="12" spans="1:11" x14ac:dyDescent="0.25">
      <c r="A12" s="4" t="s">
        <v>89</v>
      </c>
      <c r="B12" s="10">
        <f>B9/(K5-1)</f>
        <v>32.670634920634456</v>
      </c>
    </row>
    <row r="13" spans="1:11" x14ac:dyDescent="0.25">
      <c r="A13" s="4" t="s">
        <v>90</v>
      </c>
      <c r="B13" s="10">
        <f>B10/(K4-1)</f>
        <v>40.559523809521728</v>
      </c>
    </row>
    <row r="14" spans="1:11" x14ac:dyDescent="0.25">
      <c r="A14" s="4" t="s">
        <v>91</v>
      </c>
      <c r="B14" s="10">
        <f>B11/(K4*(K3-1))</f>
        <v>30.416666666666668</v>
      </c>
    </row>
    <row r="15" spans="1:11" x14ac:dyDescent="0.25">
      <c r="A15" s="4" t="s">
        <v>50</v>
      </c>
      <c r="B15" s="10">
        <f>B13/B14</f>
        <v>1.3334637964774265</v>
      </c>
    </row>
    <row r="16" spans="1:11" x14ac:dyDescent="0.25">
      <c r="A16" s="4" t="s">
        <v>51</v>
      </c>
      <c r="B16" s="10">
        <f>FINV(K6,K3,(K3-1)*K4)</f>
        <v>2.8400998074753825</v>
      </c>
      <c r="D16" s="11"/>
    </row>
    <row r="18" spans="1:1" x14ac:dyDescent="0.25">
      <c r="A18" t="s">
        <v>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7D24-EAF0-4448-BAAE-089AAF6DA24D}">
  <dimension ref="A1:H20"/>
  <sheetViews>
    <sheetView workbookViewId="0">
      <selection activeCell="B12" sqref="B12"/>
    </sheetView>
  </sheetViews>
  <sheetFormatPr defaultRowHeight="15" x14ac:dyDescent="0.25"/>
  <cols>
    <col min="1" max="1" width="11.5703125" bestFit="1" customWidth="1"/>
    <col min="2" max="2" width="11" bestFit="1" customWidth="1"/>
    <col min="6" max="6" width="12" bestFit="1" customWidth="1"/>
  </cols>
  <sheetData>
    <row r="1" spans="1:8" x14ac:dyDescent="0.25">
      <c r="A1" t="s">
        <v>10</v>
      </c>
      <c r="B1" t="s">
        <v>73</v>
      </c>
      <c r="C1" t="s">
        <v>74</v>
      </c>
      <c r="D1" t="s">
        <v>75</v>
      </c>
      <c r="E1" t="s">
        <v>76</v>
      </c>
      <c r="F1" s="4" t="s">
        <v>82</v>
      </c>
      <c r="G1" s="4" t="s">
        <v>83</v>
      </c>
      <c r="H1" s="4" t="s">
        <v>93</v>
      </c>
    </row>
    <row r="2" spans="1:8" x14ac:dyDescent="0.25">
      <c r="A2">
        <v>1</v>
      </c>
      <c r="B2">
        <v>147</v>
      </c>
      <c r="C2">
        <v>148</v>
      </c>
      <c r="D2">
        <v>176</v>
      </c>
      <c r="E2">
        <v>171</v>
      </c>
      <c r="F2" s="4">
        <f>SUM(B8:E8)</f>
        <v>18</v>
      </c>
      <c r="G2" s="4">
        <v>4</v>
      </c>
      <c r="H2" s="4">
        <v>0.01</v>
      </c>
    </row>
    <row r="3" spans="1:8" x14ac:dyDescent="0.25">
      <c r="A3">
        <v>2</v>
      </c>
      <c r="B3">
        <v>178</v>
      </c>
      <c r="C3">
        <v>162</v>
      </c>
      <c r="D3">
        <v>123</v>
      </c>
      <c r="E3">
        <v>173</v>
      </c>
    </row>
    <row r="4" spans="1:8" x14ac:dyDescent="0.25">
      <c r="A4">
        <v>3</v>
      </c>
      <c r="B4">
        <v>166</v>
      </c>
      <c r="C4">
        <v>164</v>
      </c>
      <c r="D4">
        <v>176</v>
      </c>
      <c r="E4">
        <v>172</v>
      </c>
    </row>
    <row r="5" spans="1:8" x14ac:dyDescent="0.25">
      <c r="A5">
        <v>4</v>
      </c>
      <c r="D5">
        <v>153</v>
      </c>
      <c r="E5">
        <v>173</v>
      </c>
    </row>
    <row r="6" spans="1:8" x14ac:dyDescent="0.25">
      <c r="A6">
        <v>5</v>
      </c>
      <c r="D6">
        <v>131</v>
      </c>
      <c r="E6">
        <v>171</v>
      </c>
    </row>
    <row r="7" spans="1:8" x14ac:dyDescent="0.25">
      <c r="A7">
        <v>6</v>
      </c>
      <c r="D7">
        <v>147</v>
      </c>
      <c r="E7">
        <v>154</v>
      </c>
    </row>
    <row r="8" spans="1:8" x14ac:dyDescent="0.25">
      <c r="A8" t="s">
        <v>92</v>
      </c>
      <c r="B8">
        <v>3</v>
      </c>
      <c r="C8">
        <v>3</v>
      </c>
      <c r="D8">
        <v>6</v>
      </c>
      <c r="E8">
        <v>6</v>
      </c>
    </row>
    <row r="9" spans="1:8" x14ac:dyDescent="0.25">
      <c r="A9" t="s">
        <v>68</v>
      </c>
      <c r="B9">
        <f>SUM(B2:B7)</f>
        <v>491</v>
      </c>
      <c r="C9">
        <f>SUM(C2:C7)</f>
        <v>474</v>
      </c>
      <c r="D9">
        <f>SUM(D2:D7)</f>
        <v>906</v>
      </c>
      <c r="E9">
        <f>SUM(E2:E7)</f>
        <v>1014</v>
      </c>
      <c r="F9" s="4">
        <f>SUM(B9:E9)^2</f>
        <v>8323225</v>
      </c>
      <c r="G9" s="4" t="s">
        <v>94</v>
      </c>
    </row>
    <row r="10" spans="1:8" x14ac:dyDescent="0.25">
      <c r="A10" t="s">
        <v>69</v>
      </c>
      <c r="B10">
        <f>SUMSQ(B2:B7)</f>
        <v>80849</v>
      </c>
      <c r="C10">
        <f t="shared" ref="C10:E10" si="0">SUMSQ(C2:C7)</f>
        <v>75044</v>
      </c>
      <c r="D10">
        <f t="shared" si="0"/>
        <v>139260</v>
      </c>
      <c r="E10">
        <f t="shared" si="0"/>
        <v>171640</v>
      </c>
      <c r="F10" s="4">
        <f>SUM(B10:E10)</f>
        <v>466793</v>
      </c>
      <c r="G10" s="4" t="s">
        <v>80</v>
      </c>
    </row>
    <row r="11" spans="1:8" x14ac:dyDescent="0.25">
      <c r="A11" s="4" t="s">
        <v>81</v>
      </c>
      <c r="B11" s="10">
        <f>F10-F9/F2</f>
        <v>4391.611111111124</v>
      </c>
    </row>
    <row r="12" spans="1:8" x14ac:dyDescent="0.25">
      <c r="A12" s="4" t="s">
        <v>85</v>
      </c>
      <c r="B12" s="10" cm="1">
        <f t="array" ref="B12">SUMPRODUCT(1/B8:E8,B9:E9,B9:E9)-F9/F2</f>
        <v>1022.944444444438</v>
      </c>
    </row>
    <row r="13" spans="1:8" x14ac:dyDescent="0.25">
      <c r="A13" s="4" t="s">
        <v>87</v>
      </c>
      <c r="B13" s="10">
        <f>B11-B12</f>
        <v>3368.6666666666861</v>
      </c>
    </row>
    <row r="14" spans="1:8" x14ac:dyDescent="0.25">
      <c r="A14" s="4" t="s">
        <v>89</v>
      </c>
      <c r="B14" s="10">
        <f>B11/(F2-1)</f>
        <v>258.33006535947789</v>
      </c>
    </row>
    <row r="15" spans="1:8" x14ac:dyDescent="0.25">
      <c r="A15" s="4" t="s">
        <v>90</v>
      </c>
      <c r="B15" s="10">
        <f>B12/(G2-1)</f>
        <v>340.98148148147931</v>
      </c>
    </row>
    <row r="16" spans="1:8" x14ac:dyDescent="0.25">
      <c r="A16" s="4" t="s">
        <v>91</v>
      </c>
      <c r="B16" s="10">
        <f>B13/(F2-G2)</f>
        <v>240.61904761904901</v>
      </c>
    </row>
    <row r="17" spans="1:2" x14ac:dyDescent="0.25">
      <c r="A17" s="4" t="s">
        <v>50</v>
      </c>
      <c r="B17" s="10">
        <f>B15/B16</f>
        <v>1.4171009521296307</v>
      </c>
    </row>
    <row r="18" spans="1:2" x14ac:dyDescent="0.25">
      <c r="A18" s="4" t="s">
        <v>51</v>
      </c>
      <c r="B18" s="10">
        <f>FINV(H2,G2-1,F2-G2)</f>
        <v>5.5638858396937421</v>
      </c>
    </row>
    <row r="20" spans="1:2" x14ac:dyDescent="0.25">
      <c r="A20" t="s">
        <v>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linear</vt:lpstr>
      <vt:lpstr>help_linear</vt:lpstr>
      <vt:lpstr>exponential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Ventus</dc:creator>
  <cp:lastModifiedBy>Ventus</cp:lastModifiedBy>
  <dcterms:created xsi:type="dcterms:W3CDTF">2024-12-25T23:15:13Z</dcterms:created>
  <dcterms:modified xsi:type="dcterms:W3CDTF">2024-12-30T04:55:37Z</dcterms:modified>
</cp:coreProperties>
</file>