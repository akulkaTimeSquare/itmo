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3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9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us\Documents\"/>
    </mc:Choice>
  </mc:AlternateContent>
  <xr:revisionPtr revIDLastSave="0" documentId="13_ncr:1_{BD88BAF4-9AFE-49F0-9299-E8B74D527FF7}" xr6:coauthVersionLast="47" xr6:coauthVersionMax="47" xr10:uidLastSave="{00000000-0000-0000-0000-000000000000}"/>
  <bookViews>
    <workbookView xWindow="-120" yWindow="-120" windowWidth="29040" windowHeight="15720" activeTab="1" xr2:uid="{498294D4-8A60-4FC4-B0C1-93F829C7EF71}"/>
  </bookViews>
  <sheets>
    <sheet name="Выборка А" sheetId="1" r:id="rId1"/>
    <sheet name="Выборка B" sheetId="2" r:id="rId2"/>
  </sheets>
  <definedNames>
    <definedName name="_xlchart.v1.0" hidden="1">'Выборка А'!$D$12:$D$19</definedName>
    <definedName name="_xlchart.v1.1" hidden="1">'Выборка А'!$G$12:$G$19</definedName>
    <definedName name="_xlchart.v1.2" hidden="1">'Выборка B'!$B$74:$C$74</definedName>
    <definedName name="_xlchart.v1.3" hidden="1">'Выборка B'!$D$24:$D$36</definedName>
    <definedName name="_xlchart.v1.4" hidden="1">'Выборка B'!$G$24:$G$36</definedName>
    <definedName name="_xlchart.v1.5" hidden="1">('Выборка B'!$D$24:$D$36,'Выборка B'!$B$74)</definedName>
    <definedName name="_xlchart.v1.6" hidden="1">'Выборка B'!$B$24:$B$35</definedName>
    <definedName name="_xlchart.v1.7" hidden="1">'Выборка B'!$H$24:$H$35</definedName>
    <definedName name="data">'Выборка А'!$B$1:$U$4</definedName>
    <definedName name="data1">'Выборка А'!$B$1:$U$1,'Выборка А'!$B$2:$Q$2</definedName>
    <definedName name="data2">'Выборка А'!$R$2:$U$2,'Выборка А'!$B$3:$U$3,'Выборка А'!$B$4:$N$4</definedName>
    <definedName name="dataB">'Выборка B'!$B$1:$P$14</definedName>
    <definedName name="dataB1">'Выборка B'!$B$1:$P$7</definedName>
    <definedName name="dataB2">'Выборка B'!$B$8:$P$14</definedName>
    <definedName name="xmax">'Выборка А'!$B$6</definedName>
    <definedName name="xmin">'Выборка А'!$B$7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85" i="2" l="1"/>
  <c r="B285" i="2"/>
  <c r="C284" i="2"/>
  <c r="D284" i="2" s="1"/>
  <c r="B284" i="2"/>
  <c r="C283" i="2"/>
  <c r="B283" i="2"/>
  <c r="B216" i="1"/>
  <c r="C217" i="1"/>
  <c r="B217" i="1"/>
  <c r="B209" i="1"/>
  <c r="B210" i="1"/>
  <c r="B215" i="1"/>
  <c r="B208" i="1"/>
  <c r="B272" i="2"/>
  <c r="B266" i="2"/>
  <c r="C223" i="1"/>
  <c r="D223" i="1" s="1"/>
  <c r="B223" i="1"/>
  <c r="B222" i="1"/>
  <c r="B36" i="2"/>
  <c r="B205" i="2"/>
  <c r="B142" i="2"/>
  <c r="C222" i="1"/>
  <c r="C224" i="1"/>
  <c r="E223" i="1" s="1"/>
  <c r="B224" i="1"/>
  <c r="B211" i="1"/>
  <c r="B205" i="1"/>
  <c r="B171" i="1"/>
  <c r="B170" i="1"/>
  <c r="B169" i="1"/>
  <c r="B168" i="1"/>
  <c r="B167" i="1"/>
  <c r="B166" i="1"/>
  <c r="B165" i="1"/>
  <c r="B164" i="1"/>
  <c r="B117" i="1"/>
  <c r="B118" i="1"/>
  <c r="B119" i="1"/>
  <c r="B120" i="1"/>
  <c r="B121" i="1"/>
  <c r="B122" i="1"/>
  <c r="B123" i="1"/>
  <c r="B124" i="1"/>
  <c r="B20" i="1"/>
  <c r="B148" i="1" s="1"/>
  <c r="B150" i="1" s="1"/>
  <c r="F106" i="2"/>
  <c r="B19" i="2"/>
  <c r="B17" i="2"/>
  <c r="B16" i="2"/>
  <c r="C13" i="1"/>
  <c r="H13" i="1" s="1"/>
  <c r="C14" i="1"/>
  <c r="H14" i="1" s="1"/>
  <c r="C15" i="1"/>
  <c r="H15" i="1" s="1"/>
  <c r="C16" i="1"/>
  <c r="H16" i="1" s="1"/>
  <c r="C17" i="1"/>
  <c r="H17" i="1" s="1"/>
  <c r="C18" i="1"/>
  <c r="H18" i="1" s="1"/>
  <c r="C19" i="1"/>
  <c r="H19" i="1" s="1"/>
  <c r="C12" i="1"/>
  <c r="H12" i="1" s="1"/>
  <c r="B6" i="1"/>
  <c r="B7" i="1"/>
  <c r="B286" i="2" l="1"/>
  <c r="B287" i="2" s="1"/>
  <c r="E284" i="2"/>
  <c r="B225" i="1"/>
  <c r="B226" i="1" s="1"/>
  <c r="B195" i="1"/>
  <c r="B197" i="1" s="1"/>
  <c r="E69" i="1"/>
  <c r="E65" i="1"/>
  <c r="F65" i="1" s="1"/>
  <c r="B18" i="2"/>
  <c r="B20" i="2" s="1"/>
  <c r="H20" i="1"/>
  <c r="K14" i="1"/>
  <c r="J16" i="1"/>
  <c r="J19" i="1"/>
  <c r="J18" i="1"/>
  <c r="J17" i="1"/>
  <c r="K13" i="1"/>
  <c r="K12" i="1"/>
  <c r="J15" i="1"/>
  <c r="J14" i="1"/>
  <c r="J13" i="1"/>
  <c r="J12" i="1"/>
  <c r="K19" i="1"/>
  <c r="K18" i="1"/>
  <c r="K17" i="1"/>
  <c r="K16" i="1"/>
  <c r="K15" i="1"/>
  <c r="I15" i="1"/>
  <c r="I13" i="1"/>
  <c r="I19" i="1"/>
  <c r="I18" i="1"/>
  <c r="I12" i="1"/>
  <c r="I17" i="1"/>
  <c r="I16" i="1"/>
  <c r="I14" i="1"/>
  <c r="B8" i="1"/>
  <c r="E18" i="1"/>
  <c r="C20" i="1"/>
  <c r="E12" i="1"/>
  <c r="E19" i="1"/>
  <c r="E16" i="1"/>
  <c r="E14" i="1"/>
  <c r="E17" i="1"/>
  <c r="E15" i="1"/>
  <c r="E13" i="1"/>
  <c r="B24" i="2" l="1"/>
  <c r="C117" i="1"/>
  <c r="D117" i="1" s="1"/>
  <c r="C123" i="1"/>
  <c r="D123" i="1" s="1"/>
  <c r="C118" i="1"/>
  <c r="D118" i="1" s="1"/>
  <c r="C124" i="1"/>
  <c r="D124" i="1" s="1"/>
  <c r="C119" i="1"/>
  <c r="D119" i="1" s="1"/>
  <c r="C120" i="1"/>
  <c r="D120" i="1" s="1"/>
  <c r="C122" i="1"/>
  <c r="D122" i="1" s="1"/>
  <c r="C121" i="1"/>
  <c r="D121" i="1" s="1"/>
  <c r="B71" i="1"/>
  <c r="B69" i="1"/>
  <c r="B66" i="1"/>
  <c r="B68" i="1"/>
  <c r="B67" i="1"/>
  <c r="B65" i="1"/>
  <c r="B64" i="1"/>
  <c r="B70" i="1"/>
  <c r="E67" i="1"/>
  <c r="E66" i="1"/>
  <c r="C24" i="2"/>
  <c r="B40" i="1"/>
  <c r="K20" i="1"/>
  <c r="B43" i="1" s="1"/>
  <c r="F13" i="1"/>
  <c r="B46" i="1"/>
  <c r="J20" i="1"/>
  <c r="B42" i="1" s="1"/>
  <c r="I20" i="1"/>
  <c r="B41" i="1" s="1"/>
  <c r="F16" i="1"/>
  <c r="F17" i="1"/>
  <c r="F14" i="1"/>
  <c r="F15" i="1"/>
  <c r="F19" i="1"/>
  <c r="F18" i="1"/>
  <c r="F12" i="1"/>
  <c r="D125" i="1" l="1"/>
  <c r="A158" i="1"/>
  <c r="B158" i="1"/>
  <c r="F81" i="1"/>
  <c r="B160" i="1"/>
  <c r="A160" i="1"/>
  <c r="B113" i="1"/>
  <c r="A113" i="1"/>
  <c r="E40" i="1"/>
  <c r="E24" i="2"/>
  <c r="B25" i="2"/>
  <c r="C25" i="2" s="1"/>
  <c r="D25" i="2" s="1"/>
  <c r="D24" i="2"/>
  <c r="E43" i="1"/>
  <c r="E42" i="1"/>
  <c r="E41" i="1"/>
  <c r="E44" i="1" s="1"/>
  <c r="G12" i="1"/>
  <c r="G13" i="1"/>
  <c r="G14" i="1"/>
  <c r="G15" i="1"/>
  <c r="G17" i="1"/>
  <c r="G18" i="1"/>
  <c r="G19" i="1"/>
  <c r="G16" i="1"/>
  <c r="F20" i="1"/>
  <c r="F24" i="2" l="1"/>
  <c r="E45" i="1"/>
  <c r="C167" i="1"/>
  <c r="D167" i="1" s="1"/>
  <c r="C168" i="1"/>
  <c r="D168" i="1" s="1"/>
  <c r="C169" i="1"/>
  <c r="D169" i="1" s="1"/>
  <c r="C170" i="1"/>
  <c r="D170" i="1" s="1"/>
  <c r="C171" i="1"/>
  <c r="D171" i="1" s="1"/>
  <c r="C164" i="1"/>
  <c r="D164" i="1" s="1"/>
  <c r="C165" i="1"/>
  <c r="D165" i="1" s="1"/>
  <c r="C166" i="1"/>
  <c r="D166" i="1" s="1"/>
  <c r="F67" i="1"/>
  <c r="B26" i="2"/>
  <c r="C26" i="2" s="1"/>
  <c r="D26" i="2" s="1"/>
  <c r="E25" i="2"/>
  <c r="K25" i="2" s="1"/>
  <c r="L24" i="2"/>
  <c r="K24" i="2"/>
  <c r="J24" i="2"/>
  <c r="I24" i="2"/>
  <c r="F25" i="2" l="1"/>
  <c r="D172" i="1"/>
  <c r="F79" i="1"/>
  <c r="G79" i="1" s="1"/>
  <c r="F78" i="1"/>
  <c r="G78" i="1" s="1"/>
  <c r="F77" i="1"/>
  <c r="F76" i="1"/>
  <c r="B76" i="1"/>
  <c r="B77" i="1"/>
  <c r="B78" i="1"/>
  <c r="B79" i="1"/>
  <c r="B80" i="1"/>
  <c r="B83" i="1"/>
  <c r="B81" i="1"/>
  <c r="B82" i="1"/>
  <c r="B49" i="1"/>
  <c r="F66" i="1" s="1"/>
  <c r="B48" i="1"/>
  <c r="F64" i="1" s="1"/>
  <c r="B27" i="2"/>
  <c r="C27" i="2" s="1"/>
  <c r="E27" i="2" s="1"/>
  <c r="E26" i="2"/>
  <c r="L26" i="2" s="1"/>
  <c r="L25" i="2"/>
  <c r="I25" i="2"/>
  <c r="J25" i="2"/>
  <c r="F26" i="2" l="1"/>
  <c r="F27" i="2"/>
  <c r="G76" i="1"/>
  <c r="G77" i="1"/>
  <c r="B28" i="2"/>
  <c r="C28" i="2" s="1"/>
  <c r="B29" i="2" s="1"/>
  <c r="D27" i="2"/>
  <c r="K27" i="2" s="1"/>
  <c r="J26" i="2"/>
  <c r="K26" i="2"/>
  <c r="I26" i="2"/>
  <c r="I27" i="2" l="1"/>
  <c r="L27" i="2"/>
  <c r="J27" i="2"/>
  <c r="E28" i="2"/>
  <c r="C29" i="2"/>
  <c r="B30" i="2" s="1"/>
  <c r="D28" i="2"/>
  <c r="F28" i="2" l="1"/>
  <c r="L28" i="2"/>
  <c r="K28" i="2"/>
  <c r="J28" i="2"/>
  <c r="I28" i="2"/>
  <c r="D29" i="2"/>
  <c r="E29" i="2"/>
  <c r="C30" i="2"/>
  <c r="B31" i="2" s="1"/>
  <c r="F29" i="2" l="1"/>
  <c r="E30" i="2"/>
  <c r="F30" i="2" s="1"/>
  <c r="L29" i="2"/>
  <c r="K29" i="2"/>
  <c r="J29" i="2"/>
  <c r="I29" i="2"/>
  <c r="D30" i="2"/>
  <c r="C31" i="2"/>
  <c r="B32" i="2" s="1"/>
  <c r="L30" i="2" l="1"/>
  <c r="K30" i="2"/>
  <c r="J30" i="2"/>
  <c r="I30" i="2"/>
  <c r="E31" i="2"/>
  <c r="D31" i="2"/>
  <c r="C32" i="2"/>
  <c r="B33" i="2" s="1"/>
  <c r="B74" i="2" l="1"/>
  <c r="F31" i="2"/>
  <c r="L31" i="2"/>
  <c r="K31" i="2"/>
  <c r="J31" i="2"/>
  <c r="I31" i="2"/>
  <c r="D32" i="2"/>
  <c r="E32" i="2"/>
  <c r="F32" i="2" s="1"/>
  <c r="C33" i="2"/>
  <c r="B34" i="2" s="1"/>
  <c r="D33" i="2" l="1"/>
  <c r="E33" i="2"/>
  <c r="L32" i="2"/>
  <c r="K32" i="2"/>
  <c r="J32" i="2"/>
  <c r="I32" i="2"/>
  <c r="C34" i="2"/>
  <c r="B35" i="2" s="1"/>
  <c r="L33" i="2" l="1"/>
  <c r="F33" i="2"/>
  <c r="I33" i="2"/>
  <c r="J33" i="2"/>
  <c r="K33" i="2"/>
  <c r="D34" i="2"/>
  <c r="E34" i="2"/>
  <c r="F34" i="2" s="1"/>
  <c r="C35" i="2"/>
  <c r="E35" i="2" s="1"/>
  <c r="F35" i="2" l="1"/>
  <c r="L34" i="2"/>
  <c r="K34" i="2"/>
  <c r="J34" i="2"/>
  <c r="I34" i="2"/>
  <c r="E36" i="2"/>
  <c r="D35" i="2"/>
  <c r="C278" i="2" l="1"/>
  <c r="B278" i="2"/>
  <c r="B269" i="2"/>
  <c r="B73" i="2"/>
  <c r="L35" i="2"/>
  <c r="L36" i="2" s="1"/>
  <c r="B71" i="2" s="1"/>
  <c r="K35" i="2"/>
  <c r="K36" i="2" s="1"/>
  <c r="B70" i="2" s="1"/>
  <c r="J35" i="2"/>
  <c r="J36" i="2" s="1"/>
  <c r="B69" i="2" s="1"/>
  <c r="I35" i="2"/>
  <c r="I36" i="2" s="1"/>
  <c r="B68" i="2" s="1"/>
  <c r="H35" i="2"/>
  <c r="G31" i="2"/>
  <c r="G34" i="2"/>
  <c r="G35" i="2"/>
  <c r="G32" i="2"/>
  <c r="G33" i="2"/>
  <c r="G24" i="2"/>
  <c r="G25" i="2"/>
  <c r="G26" i="2"/>
  <c r="G27" i="2"/>
  <c r="G28" i="2"/>
  <c r="G29" i="2"/>
  <c r="G30" i="2"/>
  <c r="H24" i="2"/>
  <c r="H25" i="2"/>
  <c r="H26" i="2"/>
  <c r="H27" i="2"/>
  <c r="H28" i="2"/>
  <c r="H29" i="2"/>
  <c r="H30" i="2"/>
  <c r="H33" i="2"/>
  <c r="H31" i="2"/>
  <c r="H32" i="2"/>
  <c r="H34" i="2"/>
  <c r="B270" i="2" l="1"/>
  <c r="B271" i="2" s="1"/>
  <c r="F112" i="2"/>
  <c r="F108" i="2"/>
  <c r="F107" i="2"/>
  <c r="E91" i="2"/>
  <c r="F91" i="2" s="1"/>
  <c r="E92" i="2"/>
  <c r="F92" i="2" s="1"/>
  <c r="E93" i="2"/>
  <c r="F93" i="2" s="1"/>
  <c r="E68" i="2"/>
  <c r="E69" i="2"/>
  <c r="E71" i="2"/>
  <c r="E70" i="2"/>
  <c r="F109" i="2" l="1"/>
  <c r="E72" i="2"/>
  <c r="B75" i="2"/>
  <c r="E196" i="2" l="1"/>
  <c r="G196" i="2" s="1"/>
  <c r="D196" i="2"/>
  <c r="F196" i="2" s="1"/>
  <c r="B276" i="2"/>
  <c r="B277" i="2"/>
  <c r="D185" i="2"/>
  <c r="F185" i="2" s="1"/>
  <c r="D189" i="2"/>
  <c r="F189" i="2" s="1"/>
  <c r="D192" i="2"/>
  <c r="F192" i="2" s="1"/>
  <c r="D194" i="2"/>
  <c r="F194" i="2" s="1"/>
  <c r="D186" i="2"/>
  <c r="F186" i="2" s="1"/>
  <c r="D190" i="2"/>
  <c r="F190" i="2" s="1"/>
  <c r="D195" i="2"/>
  <c r="F195" i="2" s="1"/>
  <c r="D187" i="2"/>
  <c r="F187" i="2" s="1"/>
  <c r="D191" i="2"/>
  <c r="F191" i="2" s="1"/>
  <c r="D188" i="2"/>
  <c r="F188" i="2" s="1"/>
  <c r="D193" i="2"/>
  <c r="F193" i="2" s="1"/>
  <c r="F113" i="2"/>
  <c r="E186" i="2"/>
  <c r="G186" i="2" s="1"/>
  <c r="E189" i="2"/>
  <c r="G189" i="2" s="1"/>
  <c r="E194" i="2"/>
  <c r="G194" i="2" s="1"/>
  <c r="E193" i="2"/>
  <c r="G193" i="2" s="1"/>
  <c r="E195" i="2"/>
  <c r="G195" i="2" s="1"/>
  <c r="E185" i="2"/>
  <c r="G185" i="2" s="1"/>
  <c r="E191" i="2"/>
  <c r="G191" i="2" s="1"/>
  <c r="E190" i="2"/>
  <c r="G190" i="2" s="1"/>
  <c r="E192" i="2"/>
  <c r="G192" i="2" s="1"/>
  <c r="E187" i="2"/>
  <c r="G187" i="2" s="1"/>
  <c r="E188" i="2"/>
  <c r="G188" i="2" s="1"/>
  <c r="C218" i="2"/>
  <c r="D218" i="2" s="1"/>
  <c r="C222" i="2"/>
  <c r="D222" i="2" s="1"/>
  <c r="C221" i="2"/>
  <c r="D221" i="2" s="1"/>
  <c r="C224" i="2"/>
  <c r="D224" i="2" s="1"/>
  <c r="C220" i="2"/>
  <c r="D220" i="2" s="1"/>
  <c r="C223" i="2"/>
  <c r="D223" i="2" s="1"/>
  <c r="C219" i="2"/>
  <c r="D219" i="2" s="1"/>
  <c r="C216" i="2"/>
  <c r="D216" i="2" s="1"/>
  <c r="C215" i="2"/>
  <c r="D215" i="2" s="1"/>
  <c r="C214" i="2"/>
  <c r="D214" i="2" s="1"/>
  <c r="C217" i="2"/>
  <c r="D217" i="2" s="1"/>
  <c r="C150" i="2"/>
  <c r="C151" i="2"/>
  <c r="C152" i="2"/>
  <c r="C153" i="2"/>
  <c r="C154" i="2"/>
  <c r="C161" i="2"/>
  <c r="C155" i="2"/>
  <c r="C156" i="2"/>
  <c r="C157" i="2"/>
  <c r="C158" i="2"/>
  <c r="C159" i="2"/>
  <c r="C160" i="2"/>
  <c r="C209" i="2"/>
  <c r="B209" i="2"/>
  <c r="C206" i="2"/>
  <c r="B206" i="2"/>
  <c r="B146" i="2"/>
  <c r="C146" i="2"/>
  <c r="B77" i="2"/>
  <c r="G106" i="2" s="1"/>
  <c r="C143" i="2"/>
  <c r="B143" i="2"/>
  <c r="B76" i="2"/>
  <c r="G105" i="2" s="1"/>
  <c r="F110" i="2"/>
  <c r="G110" i="2" s="1"/>
  <c r="B107" i="2"/>
  <c r="B108" i="2"/>
  <c r="B109" i="2"/>
  <c r="B110" i="2"/>
  <c r="B114" i="2"/>
  <c r="B115" i="2"/>
  <c r="B111" i="2"/>
  <c r="B105" i="2"/>
  <c r="B112" i="2"/>
  <c r="B113" i="2"/>
  <c r="B106" i="2"/>
  <c r="B116" i="2"/>
  <c r="E94" i="2"/>
  <c r="F94" i="2" s="1"/>
  <c r="B90" i="2"/>
  <c r="B91" i="2"/>
  <c r="B92" i="2"/>
  <c r="B93" i="2"/>
  <c r="B95" i="2"/>
  <c r="B96" i="2"/>
  <c r="B97" i="2"/>
  <c r="B99" i="2"/>
  <c r="B94" i="2"/>
  <c r="B98" i="2"/>
  <c r="B100" i="2"/>
  <c r="B89" i="2"/>
  <c r="G197" i="2" l="1"/>
  <c r="C213" i="2"/>
  <c r="D213" i="2" s="1"/>
  <c r="D251" i="2"/>
  <c r="F251" i="2" s="1"/>
  <c r="D259" i="2"/>
  <c r="F259" i="2" s="1"/>
  <c r="D256" i="2"/>
  <c r="F256" i="2" s="1"/>
  <c r="E255" i="2"/>
  <c r="G255" i="2" s="1"/>
  <c r="E256" i="2"/>
  <c r="G256" i="2" s="1"/>
  <c r="E250" i="2"/>
  <c r="G250" i="2" s="1"/>
  <c r="E252" i="2"/>
  <c r="G252" i="2" s="1"/>
  <c r="D253" i="2"/>
  <c r="F253" i="2" s="1"/>
  <c r="D260" i="2"/>
  <c r="F260" i="2" s="1"/>
  <c r="E257" i="2"/>
  <c r="G257" i="2" s="1"/>
  <c r="D258" i="2"/>
  <c r="F258" i="2" s="1"/>
  <c r="D252" i="2"/>
  <c r="F252" i="2" s="1"/>
  <c r="E259" i="2"/>
  <c r="G259" i="2" s="1"/>
  <c r="E253" i="2"/>
  <c r="G253" i="2" s="1"/>
  <c r="D249" i="2"/>
  <c r="F249" i="2" s="1"/>
  <c r="D254" i="2"/>
  <c r="F254" i="2" s="1"/>
  <c r="E258" i="2"/>
  <c r="G258" i="2" s="1"/>
  <c r="E260" i="2"/>
  <c r="G260" i="2" s="1"/>
  <c r="E251" i="2"/>
  <c r="G251" i="2" s="1"/>
  <c r="D250" i="2"/>
  <c r="F250" i="2" s="1"/>
  <c r="E254" i="2"/>
  <c r="G254" i="2" s="1"/>
  <c r="D257" i="2"/>
  <c r="F257" i="2" s="1"/>
  <c r="E249" i="2"/>
  <c r="G249" i="2" s="1"/>
  <c r="D255" i="2"/>
  <c r="F255" i="2" s="1"/>
  <c r="F90" i="2"/>
  <c r="F89" i="2"/>
  <c r="G109" i="2"/>
  <c r="G108" i="2"/>
  <c r="G107" i="2"/>
  <c r="G261" i="2" l="1"/>
</calcChain>
</file>

<file path=xl/sharedStrings.xml><?xml version="1.0" encoding="utf-8"?>
<sst xmlns="http://schemas.openxmlformats.org/spreadsheetml/2006/main" count="278" uniqueCount="143">
  <si>
    <t>Размах</t>
  </si>
  <si>
    <t>Максимальный</t>
  </si>
  <si>
    <t>Минимальный</t>
  </si>
  <si>
    <t>Выборка А16</t>
  </si>
  <si>
    <t>Частоты n</t>
  </si>
  <si>
    <t>Значения x</t>
  </si>
  <si>
    <t>№</t>
  </si>
  <si>
    <t>Накопленные частоты</t>
  </si>
  <si>
    <t>Относительные частоты</t>
  </si>
  <si>
    <t>SUM</t>
  </si>
  <si>
    <t>Интервалы</t>
  </si>
  <si>
    <t>[0,1)</t>
  </si>
  <si>
    <t>[1,2)</t>
  </si>
  <si>
    <t>[2,3)</t>
  </si>
  <si>
    <t>[3,4)</t>
  </si>
  <si>
    <t>[4,5)</t>
  </si>
  <si>
    <t>[5,6)</t>
  </si>
  <si>
    <t>[6,7)</t>
  </si>
  <si>
    <t>[7,+inf)</t>
  </si>
  <si>
    <t>x*n</t>
  </si>
  <si>
    <t>x^2*n</t>
  </si>
  <si>
    <t>x^3*n</t>
  </si>
  <si>
    <t>x^4*n</t>
  </si>
  <si>
    <t>a1</t>
  </si>
  <si>
    <t>a2</t>
  </si>
  <si>
    <t>a3</t>
  </si>
  <si>
    <t>a4</t>
  </si>
  <si>
    <t>m2</t>
  </si>
  <si>
    <t>m1</t>
  </si>
  <si>
    <t>m3</t>
  </si>
  <si>
    <t>m4</t>
  </si>
  <si>
    <t>Мода</t>
  </si>
  <si>
    <t>Медиана</t>
  </si>
  <si>
    <t>Ассиметрия</t>
  </si>
  <si>
    <t>Эксцесс</t>
  </si>
  <si>
    <t>Выборка B16</t>
  </si>
  <si>
    <t>N интервалов</t>
  </si>
  <si>
    <t>Накопленные относительные частоты</t>
  </si>
  <si>
    <t>Начало интервала</t>
  </si>
  <si>
    <t>Конец интервала</t>
  </si>
  <si>
    <t>Относительные (нормированные) частоты</t>
  </si>
  <si>
    <t>Середины (x)</t>
  </si>
  <si>
    <t>Частоты (n)</t>
  </si>
  <si>
    <t>n среднего элемента</t>
  </si>
  <si>
    <t>Дисперсия</t>
  </si>
  <si>
    <t>Частоты</t>
  </si>
  <si>
    <t>Гипотезы насчёт генеральной совокупности</t>
  </si>
  <si>
    <t>Посмотрим на некоторые параметры принятого нами распределения и сравним с получившимися у нас</t>
  </si>
  <si>
    <t>As</t>
  </si>
  <si>
    <t>Me</t>
  </si>
  <si>
    <t>M</t>
  </si>
  <si>
    <r>
      <t xml:space="preserve">Вычислим </t>
    </r>
    <r>
      <rPr>
        <b/>
        <sz val="11"/>
        <color theme="1"/>
        <rFont val="Calibri"/>
        <family val="2"/>
        <scheme val="minor"/>
      </rPr>
      <t>начальные моменты</t>
    </r>
  </si>
  <si>
    <r>
      <t>Вычислим</t>
    </r>
    <r>
      <rPr>
        <b/>
        <sz val="11"/>
        <color theme="1"/>
        <rFont val="Calibri"/>
        <family val="2"/>
        <scheme val="minor"/>
      </rPr>
      <t xml:space="preserve"> центральные моменты</t>
    </r>
  </si>
  <si>
    <r>
      <t xml:space="preserve">Распределение генеральной совокупности "достаточно" </t>
    </r>
    <r>
      <rPr>
        <i/>
        <sz val="11"/>
        <color theme="1"/>
        <rFont val="Calibri"/>
        <family val="2"/>
        <scheme val="minor"/>
      </rPr>
      <t>симметрично</t>
    </r>
    <r>
      <rPr>
        <sz val="11"/>
        <color theme="1"/>
        <rFont val="Calibri"/>
        <family val="2"/>
        <scheme val="minor"/>
      </rPr>
      <t>, то есть:</t>
    </r>
  </si>
  <si>
    <r>
      <rPr>
        <i/>
        <sz val="11"/>
        <color theme="1"/>
        <rFont val="Calibri"/>
        <family val="2"/>
        <scheme val="minor"/>
      </rPr>
      <t>Ассиметрия</t>
    </r>
    <r>
      <rPr>
        <sz val="11"/>
        <color theme="1"/>
        <rFont val="Calibri"/>
        <family val="2"/>
        <scheme val="minor"/>
      </rPr>
      <t xml:space="preserve"> As = 0 (то есть среднее "делит" график на две одинаковые части)</t>
    </r>
  </si>
  <si>
    <r>
      <t xml:space="preserve">Симметричность может натолкнуть нас на мысль о нормальном виде генеральной совокупности, однако значение эксцесса было бы близко к 0 (чего нет, поэтому можно сделать предположение о </t>
    </r>
    <r>
      <rPr>
        <i/>
        <sz val="11"/>
        <color theme="1"/>
        <rFont val="Calibri"/>
        <family val="2"/>
        <scheme val="minor"/>
      </rPr>
      <t>ненулевом эксцессе</t>
    </r>
    <r>
      <rPr>
        <sz val="11"/>
        <color theme="1"/>
        <rFont val="Calibri"/>
        <family val="2"/>
        <scheme val="minor"/>
      </rPr>
      <t xml:space="preserve"> исходного распределения)</t>
    </r>
  </si>
  <si>
    <t>На всё это намекает среднее (первый начальный момент a1, близкий" к центру возможных значений x нашей выборки (размах/2; 0.02 = |a1-R/2|)), значение ассиметрии, а также общий вид полигона</t>
  </si>
  <si>
    <t>Коэффициенты</t>
  </si>
  <si>
    <t>Значения</t>
  </si>
  <si>
    <t>Погрешность (абсолютная)</t>
  </si>
  <si>
    <r>
      <t xml:space="preserve">Вычислим </t>
    </r>
    <r>
      <rPr>
        <b/>
        <sz val="11"/>
        <color theme="1"/>
        <rFont val="Calibri"/>
        <family val="2"/>
        <scheme val="minor"/>
      </rPr>
      <t>центральные моменты</t>
    </r>
  </si>
  <si>
    <t>Длина интервала (шаг)</t>
  </si>
  <si>
    <t>Также имелся бы выраженный пик на полигоне, чего мы не наблюдаем, видя, что значения "скачут"</t>
  </si>
  <si>
    <r>
      <rPr>
        <sz val="11"/>
        <color theme="1"/>
        <rFont val="Calibri"/>
        <family val="2"/>
        <scheme val="minor"/>
      </rPr>
      <t xml:space="preserve">По гистограмме и полигону относительных частот можно видеть, что значения </t>
    </r>
    <r>
      <rPr>
        <i/>
        <sz val="11"/>
        <color theme="1"/>
        <rFont val="Calibri"/>
        <family val="2"/>
        <scheme val="minor"/>
      </rPr>
      <t>крайне</t>
    </r>
    <r>
      <rPr>
        <sz val="11"/>
        <color theme="1"/>
        <rFont val="Calibri"/>
        <family val="2"/>
        <scheme val="minor"/>
      </rPr>
      <t xml:space="preserve"> симметрично расположены, причём общий вид очень напоминает вид нормального распределения, параметрами которого являются математическое ожидание и дисперсия.</t>
    </r>
  </si>
  <si>
    <r>
      <rPr>
        <i/>
        <sz val="11"/>
        <color theme="1"/>
        <rFont val="Calibri"/>
        <family val="2"/>
        <scheme val="minor"/>
      </rPr>
      <t>Медиана</t>
    </r>
    <r>
      <rPr>
        <sz val="11"/>
        <color theme="1"/>
        <rFont val="Calibri"/>
        <family val="2"/>
        <scheme val="minor"/>
      </rPr>
      <t xml:space="preserve"> Me = </t>
    </r>
    <r>
      <rPr>
        <i/>
        <sz val="11"/>
        <color theme="1"/>
        <rFont val="Calibri"/>
        <family val="2"/>
        <scheme val="minor"/>
      </rPr>
      <t>математическое ожидание</t>
    </r>
    <r>
      <rPr>
        <sz val="11"/>
        <color theme="1"/>
        <rFont val="Calibri"/>
        <family val="2"/>
        <scheme val="minor"/>
      </rPr>
      <t xml:space="preserve"> M</t>
    </r>
  </si>
  <si>
    <t>Mo=Me=M</t>
  </si>
  <si>
    <t>As (ассиметрия) = Es (эксцесс) = 0</t>
  </si>
  <si>
    <t>В связи со всем этим выдвигаются следующие гипотезы:</t>
  </si>
  <si>
    <t>Es</t>
  </si>
  <si>
    <t>Mo</t>
  </si>
  <si>
    <r>
      <t xml:space="preserve">Нормальное распределение с параметрами а=50.2 и </t>
    </r>
    <r>
      <rPr>
        <sz val="11"/>
        <color theme="1"/>
        <rFont val="Calibri"/>
        <family val="2"/>
      </rPr>
      <t>σ²=278.931</t>
    </r>
  </si>
  <si>
    <t>На всё это также намекают и вычисленные нами моменты и коэффициенты (в частности "близкие" значения медианы, моды и первого начального момента, а также ассиметрии и эксцесса). Сравним:</t>
  </si>
  <si>
    <t>D</t>
  </si>
  <si>
    <r>
      <t xml:space="preserve">В связи с чем выдвигается гипотеза о виде общего распределения - </t>
    </r>
    <r>
      <rPr>
        <i/>
        <sz val="11"/>
        <color theme="1"/>
        <rFont val="Calibri"/>
        <family val="2"/>
        <scheme val="minor"/>
      </rPr>
      <t>равномерное дискретное с параметрами a=x_min, b=x_max</t>
    </r>
    <r>
      <rPr>
        <sz val="11"/>
        <color theme="1"/>
        <rFont val="Calibri"/>
        <family val="2"/>
        <scheme val="minor"/>
      </rPr>
      <t xml:space="preserve"> из нашей выборки</t>
    </r>
  </si>
  <si>
    <t>n</t>
  </si>
  <si>
    <t>lambda</t>
  </si>
  <si>
    <t>r</t>
  </si>
  <si>
    <t>Генеральная совокупность (равномерное дискретное)</t>
  </si>
  <si>
    <t>Генеральная совокупность (Пуассоновское)</t>
  </si>
  <si>
    <t>Генеральная совокупность (нормальное)</t>
  </si>
  <si>
    <t>Частоты выборки</t>
  </si>
  <si>
    <t>mu</t>
  </si>
  <si>
    <t>Генеральная совокупность (Логистическое)</t>
  </si>
  <si>
    <t>s</t>
  </si>
  <si>
    <t>Дискретное равномерное распределение</t>
  </si>
  <si>
    <t>Тогда</t>
  </si>
  <si>
    <t>Лабораторная работа 2</t>
  </si>
  <si>
    <r>
      <t xml:space="preserve">Откуда </t>
    </r>
    <r>
      <rPr>
        <b/>
        <i/>
        <sz val="11"/>
        <color theme="1"/>
        <rFont val="Calibri"/>
        <family val="2"/>
        <scheme val="minor"/>
      </rPr>
      <t>доверительный интервал для n</t>
    </r>
    <r>
      <rPr>
        <sz val="11"/>
        <color theme="1"/>
        <rFont val="Calibri"/>
        <family val="2"/>
        <scheme val="minor"/>
      </rPr>
      <t>:</t>
    </r>
  </si>
  <si>
    <t>u</t>
  </si>
  <si>
    <t xml:space="preserve">Так как в этом случае имеем дело с двумя параметрами распределения, то при построении 95% доверительных интервалов сделаем допущение, сказав, что знаем один из параметров (пусть a = 0) </t>
  </si>
  <si>
    <r>
      <rPr>
        <b/>
        <sz val="11"/>
        <color theme="1"/>
        <rFont val="Calibri"/>
        <family val="2"/>
        <scheme val="minor"/>
      </rPr>
      <t>Задание 1</t>
    </r>
    <r>
      <rPr>
        <sz val="11"/>
        <color theme="1"/>
        <rFont val="Calibri"/>
        <family val="2"/>
        <scheme val="minor"/>
      </rPr>
      <t>. Построение 95% доверительных интервалов</t>
    </r>
  </si>
  <si>
    <t>Пуассоновское распределение</t>
  </si>
  <si>
    <r>
      <t xml:space="preserve">Доверительный интервал для </t>
    </r>
    <r>
      <rPr>
        <b/>
        <sz val="11"/>
        <color theme="1"/>
        <rFont val="Calibri"/>
        <family val="2"/>
      </rPr>
      <t>λ</t>
    </r>
  </si>
  <si>
    <t>Исправленная дисперсия</t>
  </si>
  <si>
    <t>То же через функциональное преобразование</t>
  </si>
  <si>
    <t>Расхождения</t>
  </si>
  <si>
    <t>a</t>
  </si>
  <si>
    <t>k</t>
  </si>
  <si>
    <t>m</t>
  </si>
  <si>
    <t>Критическое по таблице</t>
  </si>
  <si>
    <r>
      <rPr>
        <b/>
        <sz val="11"/>
        <color theme="1"/>
        <rFont val="Calibri"/>
        <family val="2"/>
        <scheme val="minor"/>
      </rPr>
      <t>Задание 2</t>
    </r>
    <r>
      <rPr>
        <sz val="11"/>
        <color theme="1"/>
        <rFont val="Calibri"/>
        <family val="2"/>
        <scheme val="minor"/>
      </rPr>
      <t>. Построение графиков теоретических частот</t>
    </r>
  </si>
  <si>
    <t>Теоретические n</t>
  </si>
  <si>
    <r>
      <rPr>
        <b/>
        <sz val="11"/>
        <color theme="1"/>
        <rFont val="Calibri"/>
        <family val="2"/>
        <scheme val="minor"/>
      </rPr>
      <t>Отвергаем</t>
    </r>
    <r>
      <rPr>
        <sz val="11"/>
        <color theme="1"/>
        <rFont val="Calibri"/>
        <family val="2"/>
        <scheme val="minor"/>
      </rPr>
      <t xml:space="preserve"> гипотезу, т.к. 15.385 &gt; 12.6</t>
    </r>
  </si>
  <si>
    <r>
      <rPr>
        <b/>
        <sz val="11"/>
        <color theme="1"/>
        <rFont val="Calibri"/>
        <family val="2"/>
        <scheme val="minor"/>
      </rPr>
      <t>Отвергаем</t>
    </r>
    <r>
      <rPr>
        <sz val="11"/>
        <color theme="1"/>
        <rFont val="Calibri"/>
        <family val="2"/>
        <scheme val="minor"/>
      </rPr>
      <t xml:space="preserve"> гипотезу, т.к. 11.712 &gt; 11.1</t>
    </r>
  </si>
  <si>
    <r>
      <rPr>
        <b/>
        <sz val="11"/>
        <color theme="1"/>
        <rFont val="Calibri"/>
        <family val="2"/>
        <scheme val="minor"/>
      </rPr>
      <t>Задание 4</t>
    </r>
    <r>
      <rPr>
        <sz val="11"/>
        <color theme="1"/>
        <rFont val="Calibri"/>
        <family val="2"/>
        <scheme val="minor"/>
      </rPr>
      <t>. Оценка среднего и дисперсии</t>
    </r>
  </si>
  <si>
    <t>a0</t>
  </si>
  <si>
    <t>se</t>
  </si>
  <si>
    <t>Среднее</t>
  </si>
  <si>
    <t>d0</t>
  </si>
  <si>
    <t>хи-2</t>
  </si>
  <si>
    <t>Критические границы</t>
  </si>
  <si>
    <t>T</t>
  </si>
  <si>
    <t>tкр</t>
  </si>
  <si>
    <r>
      <t xml:space="preserve">Гипотеза </t>
    </r>
    <r>
      <rPr>
        <b/>
        <sz val="11"/>
        <color theme="1"/>
        <rFont val="Calibri"/>
        <family val="2"/>
        <scheme val="minor"/>
      </rPr>
      <t>принимается</t>
    </r>
  </si>
  <si>
    <t>Первая часть</t>
  </si>
  <si>
    <t>Вторая часть</t>
  </si>
  <si>
    <r>
      <rPr>
        <b/>
        <sz val="11"/>
        <color theme="1"/>
        <rFont val="Calibri"/>
        <family val="2"/>
        <scheme val="minor"/>
      </rPr>
      <t>Задание 5</t>
    </r>
    <r>
      <rPr>
        <sz val="11"/>
        <color theme="1"/>
        <rFont val="Calibri"/>
        <family val="2"/>
        <scheme val="minor"/>
      </rPr>
      <t>. Две части выборки</t>
    </r>
  </si>
  <si>
    <t>Значение</t>
  </si>
  <si>
    <t>t-статистика</t>
  </si>
  <si>
    <t>Sp</t>
  </si>
  <si>
    <r>
      <t xml:space="preserve">t &lt; tкр =&gt; гипотеза о равентсве средних </t>
    </r>
    <r>
      <rPr>
        <b/>
        <sz val="11"/>
        <color theme="1"/>
        <rFont val="Calibri"/>
        <family val="2"/>
        <scheme val="minor"/>
      </rPr>
      <t>принимается</t>
    </r>
  </si>
  <si>
    <t>Из всех дискретных распределений (были проверены многие) равномерное даёт наименьшее отклонение по частотам</t>
  </si>
  <si>
    <r>
      <rPr>
        <b/>
        <sz val="11"/>
        <color theme="1"/>
        <rFont val="Calibri"/>
        <family val="2"/>
        <scheme val="minor"/>
      </rPr>
      <t>Принимаем</t>
    </r>
    <r>
      <rPr>
        <sz val="11"/>
        <color theme="1"/>
        <rFont val="Calibri"/>
        <family val="2"/>
        <scheme val="minor"/>
      </rPr>
      <t>, так как |T| &lt; 2</t>
    </r>
  </si>
  <si>
    <t>Нормальное распределение</t>
  </si>
  <si>
    <t>Математическое ожидание</t>
  </si>
  <si>
    <t>t</t>
  </si>
  <si>
    <t>Интервал:</t>
  </si>
  <si>
    <t>Логистическое распределение</t>
  </si>
  <si>
    <t>Проверка гипотезы</t>
  </si>
  <si>
    <r>
      <rPr>
        <b/>
        <sz val="11"/>
        <color theme="1"/>
        <rFont val="Calibri"/>
        <family val="2"/>
        <scheme val="minor"/>
      </rPr>
      <t>Задание 3</t>
    </r>
    <r>
      <rPr>
        <sz val="11"/>
        <color theme="1"/>
        <rFont val="Calibri"/>
        <family val="2"/>
        <scheme val="minor"/>
      </rPr>
      <t>. Проверка гипотезы</t>
    </r>
  </si>
  <si>
    <t>Распределение начало</t>
  </si>
  <si>
    <t>Распределение конец</t>
  </si>
  <si>
    <t>Разность начало</t>
  </si>
  <si>
    <t>Разность конец</t>
  </si>
  <si>
    <t>Так как функция распределения - монотонно возрастающая, а эмпирическая постоянна на интервалах, то имеет смысл сравнивать значения лишь на концах</t>
  </si>
  <si>
    <r>
      <t xml:space="preserve">|t| &lt; tкр =&gt; гипотеза о равентсве средних </t>
    </r>
    <r>
      <rPr>
        <b/>
        <sz val="11"/>
        <color theme="1"/>
        <rFont val="Calibri"/>
        <family val="2"/>
        <scheme val="minor"/>
      </rPr>
      <t>принимается</t>
    </r>
  </si>
  <si>
    <t>F-тест</t>
  </si>
  <si>
    <t>Дисперсии равны, можем проверять средние</t>
  </si>
  <si>
    <t>Дисперсии равны (a=0.05), можем проверять средние</t>
  </si>
  <si>
    <r>
      <t>2.587 &gt; 1.358, поэтому гипотеза</t>
    </r>
    <r>
      <rPr>
        <b/>
        <sz val="11"/>
        <color theme="1"/>
        <rFont val="Calibri"/>
        <family val="2"/>
        <scheme val="minor"/>
      </rPr>
      <t xml:space="preserve"> не принимается</t>
    </r>
  </si>
  <si>
    <r>
      <t xml:space="preserve">2.711 &gt; 1.358, поэтому гипотеза </t>
    </r>
    <r>
      <rPr>
        <b/>
        <sz val="11"/>
        <color theme="1"/>
        <rFont val="Calibri"/>
        <family val="2"/>
        <scheme val="minor"/>
      </rPr>
      <t>не принимается</t>
    </r>
  </si>
  <si>
    <t>Лучшие результаты даёт нормальное распределение</t>
  </si>
  <si>
    <t>Критическое значение lambda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</si>
</sst>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2"/>
      <color rgb="FFC00000"/>
      <name val="Calibri"/>
      <family val="2"/>
      <scheme val="minor"/>
    </font>
    <font>
      <b/>
      <sz val="11"/>
      <color theme="1"/>
      <name val="Calibri"/>
      <family val="2"/>
    </font>
    <font>
      <i/>
      <sz val="11"/>
      <color rgb="FFC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0" fontId="2" fillId="0" borderId="0" xfId="0" applyFont="1"/>
    <xf numFmtId="0" fontId="0" fillId="2" borderId="0" xfId="0" applyFill="1"/>
    <xf numFmtId="0" fontId="1" fillId="0" borderId="0" xfId="0" applyFont="1"/>
    <xf numFmtId="164" fontId="0" fillId="0" borderId="0" xfId="1" applyNumberFormat="1" applyFont="1"/>
    <xf numFmtId="0" fontId="1" fillId="3" borderId="0" xfId="0" applyFont="1" applyFill="1"/>
    <xf numFmtId="0" fontId="1" fillId="0" borderId="1" xfId="0" applyFont="1" applyBorder="1"/>
    <xf numFmtId="0" fontId="7" fillId="0" borderId="0" xfId="0" applyFont="1"/>
    <xf numFmtId="164" fontId="0" fillId="4" borderId="0" xfId="0" applyNumberFormat="1" applyFill="1"/>
    <xf numFmtId="164" fontId="0" fillId="0" borderId="1" xfId="0" applyNumberFormat="1" applyBorder="1"/>
    <xf numFmtId="0" fontId="0" fillId="4" borderId="0" xfId="0" applyFill="1"/>
    <xf numFmtId="0" fontId="0" fillId="0" borderId="1" xfId="0" applyBorder="1"/>
    <xf numFmtId="0" fontId="1" fillId="0" borderId="2" xfId="0" applyFont="1" applyBorder="1"/>
    <xf numFmtId="0" fontId="9" fillId="0" borderId="0" xfId="0" applyFont="1"/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</cellXfs>
  <cellStyles count="2">
    <cellStyle name="Normal" xfId="0" builtinId="0"/>
    <cellStyle name="Percent" xfId="1" builtinId="5"/>
  </cellStyles>
  <dxfs count="104"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"/>
    </dxf>
    <dxf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"/>
    </dxf>
    <dxf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"/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0" formatCode="General"/>
    </dxf>
    <dxf>
      <numFmt numFmtId="0" formatCode="General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0" formatCode="General"/>
    </dxf>
    <dxf>
      <numFmt numFmtId="164" formatCode="0.000"/>
    </dxf>
    <dxf>
      <numFmt numFmtId="164" formatCode="0.000"/>
    </dxf>
    <dxf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0.000"/>
    </dxf>
    <dxf>
      <numFmt numFmtId="164" formatCode="0.00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0.000"/>
    </dxf>
    <dxf>
      <numFmt numFmtId="164" formatCode="0.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0.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"/>
    </dxf>
    <dxf>
      <numFmt numFmtId="164" formatCode="0.000"/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Полигон относительных частот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63929821793977"/>
          <c:y val="0.12532063175944094"/>
          <c:w val="0.77152384332592816"/>
          <c:h val="0.66303187065147717"/>
        </c:manualLayout>
      </c:layout>
      <c:scatterChart>
        <c:scatterStyle val="lineMarker"/>
        <c:varyColors val="0"/>
        <c:ser>
          <c:idx val="0"/>
          <c:order val="0"/>
          <c:tx>
            <c:v>Полигон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'Выборка А'!$B$12:$B$19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'Выборка А'!$F$12:$F$19</c:f>
              <c:numCache>
                <c:formatCode>0.000</c:formatCode>
                <c:ptCount val="8"/>
                <c:pt idx="0">
                  <c:v>5.4794520547945202E-2</c:v>
                </c:pt>
                <c:pt idx="1">
                  <c:v>9.5890410958904104E-2</c:v>
                </c:pt>
                <c:pt idx="2">
                  <c:v>0.21917808219178081</c:v>
                </c:pt>
                <c:pt idx="3">
                  <c:v>0.16438356164383561</c:v>
                </c:pt>
                <c:pt idx="4">
                  <c:v>0.1095890410958904</c:v>
                </c:pt>
                <c:pt idx="5">
                  <c:v>0.1095890410958904</c:v>
                </c:pt>
                <c:pt idx="6">
                  <c:v>0.16438356164383561</c:v>
                </c:pt>
                <c:pt idx="7">
                  <c:v>8.2191780821917804E-2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EE-4462-AF7A-E4E88CFA56DC}"/>
            </c:ext>
          </c:extLst>
        </c:ser>
        <c:ser>
          <c:idx val="1"/>
          <c:order val="1"/>
          <c:tx>
            <c:v>Распределение генеральной совокупности (гипотеза)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'Выборка А'!$A$64:$A$71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'Выборка А'!$B$64:$B$71</c:f>
              <c:numCache>
                <c:formatCode>0.000</c:formatCode>
                <c:ptCount val="8"/>
                <c:pt idx="0">
                  <c:v>0.125</c:v>
                </c:pt>
                <c:pt idx="1">
                  <c:v>0.125</c:v>
                </c:pt>
                <c:pt idx="2">
                  <c:v>0.125</c:v>
                </c:pt>
                <c:pt idx="3">
                  <c:v>0.125</c:v>
                </c:pt>
                <c:pt idx="4">
                  <c:v>0.125</c:v>
                </c:pt>
                <c:pt idx="5">
                  <c:v>0.125</c:v>
                </c:pt>
                <c:pt idx="6">
                  <c:v>0.125</c:v>
                </c:pt>
                <c:pt idx="7">
                  <c:v>0.125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C4-4F92-827D-5B8A38AC7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9050895"/>
        <c:axId val="989052335"/>
      </c:scatterChart>
      <c:valAx>
        <c:axId val="989050895"/>
        <c:scaling>
          <c:orientation val="minMax"/>
          <c:max val="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Значения</a:t>
                </a:r>
                <a:r>
                  <a:rPr lang="ru-RU" baseline="0"/>
                  <a:t> </a:t>
                </a:r>
                <a:r>
                  <a:rPr lang="en-US" baseline="0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052335"/>
        <c:crosses val="autoZero"/>
        <c:crossBetween val="midCat"/>
      </c:valAx>
      <c:valAx>
        <c:axId val="98905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Частоты</a:t>
                </a:r>
                <a:r>
                  <a:rPr lang="ru-RU" sz="1200" baseline="0"/>
                  <a:t> </a:t>
                </a:r>
                <a:r>
                  <a:rPr lang="en-US" sz="1200" baseline="0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050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179960438639233E-2"/>
          <c:y val="7.9918921135572765E-2"/>
          <c:w val="0.94552770571235778"/>
          <c:h val="0.91748709517659799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971697519"/>
        <c:axId val="971699919"/>
      </c:scatterChart>
      <c:valAx>
        <c:axId val="971697519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71699919"/>
        <c:crosses val="autoZero"/>
        <c:crossBetween val="midCat"/>
      </c:valAx>
      <c:valAx>
        <c:axId val="971699919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71697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Полигон частот и гипотеза (Пуассон)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'Выборка А'!$A$76:$A$83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'Выборка А'!$B$76:$B$83</c:f>
              <c:numCache>
                <c:formatCode>0.000</c:formatCode>
                <c:ptCount val="8"/>
                <c:pt idx="0">
                  <c:v>2.8005833093002686E-2</c:v>
                </c:pt>
                <c:pt idx="1">
                  <c:v>0.10013044434621508</c:v>
                </c:pt>
                <c:pt idx="2">
                  <c:v>0.17900031489289137</c:v>
                </c:pt>
                <c:pt idx="3">
                  <c:v>0.21332914240659653</c:v>
                </c:pt>
                <c:pt idx="4">
                  <c:v>0.19068118550726612</c:v>
                </c:pt>
                <c:pt idx="5">
                  <c:v>0.13635010799286701</c:v>
                </c:pt>
                <c:pt idx="6">
                  <c:v>8.1249721886160475E-2</c:v>
                </c:pt>
                <c:pt idx="7">
                  <c:v>4.1499368712892143E-2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23-4D9E-9A0F-4733086B4FA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'Выборка А'!$A$76:$A$83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'Выборка А'!$C$76:$C$83</c:f>
              <c:numCache>
                <c:formatCode>0.000</c:formatCode>
                <c:ptCount val="8"/>
                <c:pt idx="0">
                  <c:v>5.4794520547945202E-2</c:v>
                </c:pt>
                <c:pt idx="1">
                  <c:v>9.5890410958904104E-2</c:v>
                </c:pt>
                <c:pt idx="2">
                  <c:v>0.21917808219178081</c:v>
                </c:pt>
                <c:pt idx="3">
                  <c:v>0.16438356164383561</c:v>
                </c:pt>
                <c:pt idx="4">
                  <c:v>0.1095890410958904</c:v>
                </c:pt>
                <c:pt idx="5">
                  <c:v>0.1095890410958904</c:v>
                </c:pt>
                <c:pt idx="6">
                  <c:v>0.16438356164383561</c:v>
                </c:pt>
                <c:pt idx="7">
                  <c:v>8.2191780821917804E-2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23-4D9E-9A0F-4733086B4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4444415"/>
        <c:axId val="1834442975"/>
      </c:lineChart>
      <c:catAx>
        <c:axId val="1834444415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Значения </a:t>
                </a: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442975"/>
        <c:crosses val="autoZero"/>
        <c:auto val="1"/>
        <c:lblAlgn val="ctr"/>
        <c:lblOffset val="100"/>
        <c:noMultiLvlLbl val="0"/>
      </c:catAx>
      <c:valAx>
        <c:axId val="183444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Частоты</a:t>
                </a:r>
                <a:r>
                  <a:rPr lang="ru-RU" baseline="0"/>
                  <a:t> </a:t>
                </a:r>
                <a:r>
                  <a:rPr lang="en-US" baseline="0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444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теоретических частот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'Выборка А'!$B$116</c:f>
              <c:strCache>
                <c:ptCount val="1"/>
                <c:pt idx="0">
                  <c:v>Частоты выборки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'Выборка А'!$A$117:$A$124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'Выборка А'!$B$117:$B$124</c:f>
              <c:numCache>
                <c:formatCode>General</c:formatCode>
                <c:ptCount val="8"/>
                <c:pt idx="0">
                  <c:v>4</c:v>
                </c:pt>
                <c:pt idx="1">
                  <c:v>7</c:v>
                </c:pt>
                <c:pt idx="2">
                  <c:v>16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12</c:v>
                </c:pt>
                <c:pt idx="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A6-4223-991A-FF1071A71D4A}"/>
            </c:ext>
          </c:extLst>
        </c:ser>
        <c:ser>
          <c:idx val="1"/>
          <c:order val="1"/>
          <c:tx>
            <c:strRef>
              <c:f>'Выборка А'!$C$116</c:f>
              <c:strCache>
                <c:ptCount val="1"/>
                <c:pt idx="0">
                  <c:v>Теоретические 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'Выборка А'!$A$117:$A$124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'Выборка А'!$C$117:$C$124</c:f>
              <c:numCache>
                <c:formatCode>General</c:formatCode>
                <c:ptCount val="8"/>
                <c:pt idx="0">
                  <c:v>9.125</c:v>
                </c:pt>
                <c:pt idx="1">
                  <c:v>9.125</c:v>
                </c:pt>
                <c:pt idx="2">
                  <c:v>9.125</c:v>
                </c:pt>
                <c:pt idx="3">
                  <c:v>9.125</c:v>
                </c:pt>
                <c:pt idx="4">
                  <c:v>9.125</c:v>
                </c:pt>
                <c:pt idx="5">
                  <c:v>9.125</c:v>
                </c:pt>
                <c:pt idx="6">
                  <c:v>9.125</c:v>
                </c:pt>
                <c:pt idx="7">
                  <c:v>9.125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A6-4223-991A-FF1071A71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6891727"/>
        <c:axId val="1216892207"/>
      </c:lineChart>
      <c:catAx>
        <c:axId val="1216891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Значения </a:t>
                </a: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892207"/>
        <c:crosses val="autoZero"/>
        <c:auto val="1"/>
        <c:lblAlgn val="ctr"/>
        <c:lblOffset val="100"/>
        <c:noMultiLvlLbl val="0"/>
      </c:catAx>
      <c:valAx>
        <c:axId val="121689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Частоты </a:t>
                </a:r>
                <a:r>
                  <a:rPr lang="en-US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89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График теоретических частот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'Выборка А'!$B$163</c:f>
              <c:strCache>
                <c:ptCount val="1"/>
                <c:pt idx="0">
                  <c:v>Частоты выборки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'Выборка А'!$A$164:$A$171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'Выборка А'!$B$164:$B$171</c:f>
              <c:numCache>
                <c:formatCode>General</c:formatCode>
                <c:ptCount val="8"/>
                <c:pt idx="0">
                  <c:v>4</c:v>
                </c:pt>
                <c:pt idx="1">
                  <c:v>7</c:v>
                </c:pt>
                <c:pt idx="2">
                  <c:v>16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12</c:v>
                </c:pt>
                <c:pt idx="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F4-484D-B65A-46DC9C69992A}"/>
            </c:ext>
          </c:extLst>
        </c:ser>
        <c:ser>
          <c:idx val="1"/>
          <c:order val="1"/>
          <c:tx>
            <c:strRef>
              <c:f>'Выборка А'!$C$163</c:f>
              <c:strCache>
                <c:ptCount val="1"/>
                <c:pt idx="0">
                  <c:v>Теоретические 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'Выборка А'!$A$164:$A$171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'Выборка А'!$C$164:$C$171</c:f>
              <c:numCache>
                <c:formatCode>0.000</c:formatCode>
                <c:ptCount val="8"/>
                <c:pt idx="0">
                  <c:v>2.0444258157891961</c:v>
                </c:pt>
                <c:pt idx="1">
                  <c:v>7.3095224372737011</c:v>
                </c:pt>
                <c:pt idx="2">
                  <c:v>13.067022987181073</c:v>
                </c:pt>
                <c:pt idx="3">
                  <c:v>15.573027395681551</c:v>
                </c:pt>
                <c:pt idx="4">
                  <c:v>13.919726542030428</c:v>
                </c:pt>
                <c:pt idx="5">
                  <c:v>9.9535578834792879</c:v>
                </c:pt>
                <c:pt idx="6">
                  <c:v>5.9312296976897168</c:v>
                </c:pt>
                <c:pt idx="7">
                  <c:v>3.0294539160411276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F4-484D-B65A-46DC9C699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6801263"/>
        <c:axId val="1216797903"/>
      </c:lineChart>
      <c:catAx>
        <c:axId val="1216801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Значения</a:t>
                </a:r>
                <a:r>
                  <a:rPr lang="ru-RU" baseline="0"/>
                  <a:t> </a:t>
                </a:r>
                <a:r>
                  <a:rPr lang="en-US" baseline="0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797903"/>
        <c:crosses val="autoZero"/>
        <c:auto val="1"/>
        <c:lblAlgn val="ctr"/>
        <c:lblOffset val="100"/>
        <c:noMultiLvlLbl val="0"/>
      </c:catAx>
      <c:valAx>
        <c:axId val="121679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Частоты </a:t>
                </a:r>
                <a:r>
                  <a:rPr lang="en-US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80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Полигон относительных частот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Полигон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'Выборка B'!$D$24:$D$35</c:f>
              <c:numCache>
                <c:formatCode>0.000</c:formatCode>
                <c:ptCount val="12"/>
                <c:pt idx="0">
                  <c:v>7</c:v>
                </c:pt>
                <c:pt idx="1">
                  <c:v>14.363636363636363</c:v>
                </c:pt>
                <c:pt idx="2">
                  <c:v>21.727272727272727</c:v>
                </c:pt>
                <c:pt idx="3">
                  <c:v>29.090909090909093</c:v>
                </c:pt>
                <c:pt idx="4">
                  <c:v>36.454545454545453</c:v>
                </c:pt>
                <c:pt idx="5">
                  <c:v>43.81818181818182</c:v>
                </c:pt>
                <c:pt idx="6">
                  <c:v>51.18181818181818</c:v>
                </c:pt>
                <c:pt idx="7">
                  <c:v>58.54545454545454</c:v>
                </c:pt>
                <c:pt idx="8">
                  <c:v>65.909090909090907</c:v>
                </c:pt>
                <c:pt idx="9">
                  <c:v>73.272727272727252</c:v>
                </c:pt>
                <c:pt idx="10">
                  <c:v>80.636363636363626</c:v>
                </c:pt>
                <c:pt idx="11">
                  <c:v>87.999999999999972</c:v>
                </c:pt>
              </c:numCache>
            </c:numRef>
          </c:xVal>
          <c:yVal>
            <c:numRef>
              <c:f>'Выборка B'!$G$24:$G$35</c:f>
              <c:numCache>
                <c:formatCode>0.000</c:formatCode>
                <c:ptCount val="12"/>
                <c:pt idx="0">
                  <c:v>1.2933568489124046E-3</c:v>
                </c:pt>
                <c:pt idx="1">
                  <c:v>4.5267489711934162E-3</c:v>
                </c:pt>
                <c:pt idx="2">
                  <c:v>3.8800705467372134E-3</c:v>
                </c:pt>
                <c:pt idx="3">
                  <c:v>8.4068195179306301E-3</c:v>
                </c:pt>
                <c:pt idx="4">
                  <c:v>1.8106995884773665E-2</c:v>
                </c:pt>
                <c:pt idx="5">
                  <c:v>2.3280423280423283E-2</c:v>
                </c:pt>
                <c:pt idx="6">
                  <c:v>2.3927101704879484E-2</c:v>
                </c:pt>
                <c:pt idx="7">
                  <c:v>1.9400352733686069E-2</c:v>
                </c:pt>
                <c:pt idx="8">
                  <c:v>1.4226925338036451E-2</c:v>
                </c:pt>
                <c:pt idx="9">
                  <c:v>1.2286890064667844E-2</c:v>
                </c:pt>
                <c:pt idx="10">
                  <c:v>4.5267489711934162E-3</c:v>
                </c:pt>
                <c:pt idx="11">
                  <c:v>1.9400352733686067E-3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0E-4801-8152-D208F1143A57}"/>
            </c:ext>
          </c:extLst>
        </c:ser>
        <c:ser>
          <c:idx val="1"/>
          <c:order val="1"/>
          <c:tx>
            <c:v>Распределение генеральной совокупности (гипотеза)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'Выборка B'!$A$89:$A$100</c:f>
              <c:numCache>
                <c:formatCode>0.000</c:formatCode>
                <c:ptCount val="12"/>
                <c:pt idx="0">
                  <c:v>7</c:v>
                </c:pt>
                <c:pt idx="1">
                  <c:v>14.363636363636363</c:v>
                </c:pt>
                <c:pt idx="2">
                  <c:v>21.727272727272727</c:v>
                </c:pt>
                <c:pt idx="3">
                  <c:v>29.090909090909093</c:v>
                </c:pt>
                <c:pt idx="4">
                  <c:v>36.454545454545453</c:v>
                </c:pt>
                <c:pt idx="5">
                  <c:v>43.81818181818182</c:v>
                </c:pt>
                <c:pt idx="6">
                  <c:v>51.18181818181818</c:v>
                </c:pt>
                <c:pt idx="7">
                  <c:v>58.54545454545454</c:v>
                </c:pt>
                <c:pt idx="8">
                  <c:v>65.909090909090907</c:v>
                </c:pt>
                <c:pt idx="9">
                  <c:v>73.272727272727252</c:v>
                </c:pt>
                <c:pt idx="10">
                  <c:v>80.636363636363626</c:v>
                </c:pt>
                <c:pt idx="11">
                  <c:v>87.999999999999972</c:v>
                </c:pt>
              </c:numCache>
            </c:numRef>
          </c:xVal>
          <c:yVal>
            <c:numRef>
              <c:f>'Выборка B'!$B$89:$B$100</c:f>
              <c:numCache>
                <c:formatCode>0.000</c:formatCode>
                <c:ptCount val="12"/>
                <c:pt idx="0">
                  <c:v>8.5345008883893551E-4</c:v>
                </c:pt>
                <c:pt idx="1">
                  <c:v>2.4104773475029763E-3</c:v>
                </c:pt>
                <c:pt idx="2">
                  <c:v>5.6105405156822441E-3</c:v>
                </c:pt>
                <c:pt idx="3">
                  <c:v>1.0761754312546385E-2</c:v>
                </c:pt>
                <c:pt idx="4">
                  <c:v>1.7011325903198527E-2</c:v>
                </c:pt>
                <c:pt idx="5">
                  <c:v>2.2160011349498784E-2</c:v>
                </c:pt>
                <c:pt idx="6">
                  <c:v>2.3789127493457074E-2</c:v>
                </c:pt>
                <c:pt idx="7">
                  <c:v>2.1045719169624857E-2</c:v>
                </c:pt>
                <c:pt idx="8">
                  <c:v>1.5343546357798225E-2</c:v>
                </c:pt>
                <c:pt idx="9">
                  <c:v>9.2185889473796242E-3</c:v>
                </c:pt>
                <c:pt idx="10">
                  <c:v>4.5643598110628571E-3</c:v>
                </c:pt>
                <c:pt idx="11">
                  <c:v>1.8623959428649131E-3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68-44EA-AA02-33D1D4777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1870672"/>
        <c:axId val="591869712"/>
      </c:scatterChart>
      <c:valAx>
        <c:axId val="591870672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869712"/>
        <c:crosses val="autoZero"/>
        <c:crossBetween val="midCat"/>
      </c:valAx>
      <c:valAx>
        <c:axId val="59186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870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Кумулята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Кумулята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D2D-46D7-BE4A-C857D6796186}"/>
              </c:ext>
            </c:extLst>
          </c:dPt>
          <c:xVal>
            <c:numRef>
              <c:f>'Выборка B'!$C$24:$C$36</c:f>
              <c:numCache>
                <c:formatCode>0.000</c:formatCode>
                <c:ptCount val="13"/>
                <c:pt idx="0">
                  <c:v>10.681818181818182</c:v>
                </c:pt>
                <c:pt idx="1">
                  <c:v>18.045454545454547</c:v>
                </c:pt>
                <c:pt idx="2">
                  <c:v>25.40909090909091</c:v>
                </c:pt>
                <c:pt idx="3">
                  <c:v>32.772727272727273</c:v>
                </c:pt>
                <c:pt idx="4">
                  <c:v>40.13636363636364</c:v>
                </c:pt>
                <c:pt idx="5">
                  <c:v>47.5</c:v>
                </c:pt>
                <c:pt idx="6">
                  <c:v>54.86363636363636</c:v>
                </c:pt>
                <c:pt idx="7">
                  <c:v>62.22727272727272</c:v>
                </c:pt>
                <c:pt idx="8">
                  <c:v>69.590909090909079</c:v>
                </c:pt>
                <c:pt idx="9">
                  <c:v>76.954545454545439</c:v>
                </c:pt>
                <c:pt idx="10">
                  <c:v>84.318181818181799</c:v>
                </c:pt>
                <c:pt idx="11">
                  <c:v>91.681818181818159</c:v>
                </c:pt>
              </c:numCache>
            </c:numRef>
          </c:xVal>
          <c:yVal>
            <c:numRef>
              <c:f>'Выборка B'!$H$24:$H$36</c:f>
              <c:numCache>
                <c:formatCode>0.000</c:formatCode>
                <c:ptCount val="13"/>
                <c:pt idx="0">
                  <c:v>9.5238095238095247E-3</c:v>
                </c:pt>
                <c:pt idx="1">
                  <c:v>4.2857142857142858E-2</c:v>
                </c:pt>
                <c:pt idx="2">
                  <c:v>7.1428571428571425E-2</c:v>
                </c:pt>
                <c:pt idx="3">
                  <c:v>0.13333333333333333</c:v>
                </c:pt>
                <c:pt idx="4">
                  <c:v>0.26666666666666666</c:v>
                </c:pt>
                <c:pt idx="5">
                  <c:v>0.43809523809523809</c:v>
                </c:pt>
                <c:pt idx="6">
                  <c:v>0.61428571428571432</c:v>
                </c:pt>
                <c:pt idx="7">
                  <c:v>0.75714285714285712</c:v>
                </c:pt>
                <c:pt idx="8">
                  <c:v>0.86190476190476195</c:v>
                </c:pt>
                <c:pt idx="9">
                  <c:v>0.95238095238095233</c:v>
                </c:pt>
                <c:pt idx="10">
                  <c:v>0.98571428571428577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42-4B55-A9CF-478F2332F134}"/>
            </c:ext>
          </c:extLst>
        </c:ser>
        <c:ser>
          <c:idx val="1"/>
          <c:order val="1"/>
          <c:tx>
            <c:v>Медиана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0"/>
                  <c:y val="7.057339494149909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2D-46D7-BE4A-C857D679618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'Выборка B'!$B$73</c:f>
              <c:numCache>
                <c:formatCode>0.000</c:formatCode>
                <c:ptCount val="1"/>
                <c:pt idx="0">
                  <c:v>48.242071881606762</c:v>
                </c:pt>
              </c:numCache>
            </c:numRef>
          </c:xVal>
          <c:yVal>
            <c:numRef>
              <c:f>'Выборка B'!$C$73</c:f>
              <c:numCache>
                <c:formatCode>0.000</c:formatCode>
                <c:ptCount val="1"/>
                <c:pt idx="0">
                  <c:v>0.45573384030000003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74-4366-85F9-7986AB9A4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011104"/>
        <c:axId val="792006784"/>
      </c:scatterChart>
      <c:valAx>
        <c:axId val="792011104"/>
        <c:scaling>
          <c:orientation val="minMax"/>
          <c:max val="95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006784"/>
        <c:crosses val="autoZero"/>
        <c:crossBetween val="midCat"/>
      </c:valAx>
      <c:valAx>
        <c:axId val="7920067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011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Полигон относительных частот и гипотеза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'Выборка B'!$B$104</c:f>
              <c:strCache>
                <c:ptCount val="1"/>
                <c:pt idx="0">
                  <c:v>Частоты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'Выборка B'!$A$105:$A$116</c:f>
              <c:numCache>
                <c:formatCode>0.000</c:formatCode>
                <c:ptCount val="12"/>
                <c:pt idx="0">
                  <c:v>7</c:v>
                </c:pt>
                <c:pt idx="1">
                  <c:v>14.363636363636363</c:v>
                </c:pt>
                <c:pt idx="2">
                  <c:v>21.727272727272727</c:v>
                </c:pt>
                <c:pt idx="3">
                  <c:v>29.090909090909093</c:v>
                </c:pt>
                <c:pt idx="4">
                  <c:v>36.454545454545453</c:v>
                </c:pt>
                <c:pt idx="5">
                  <c:v>43.81818181818182</c:v>
                </c:pt>
                <c:pt idx="6">
                  <c:v>51.18181818181818</c:v>
                </c:pt>
                <c:pt idx="7">
                  <c:v>58.54545454545454</c:v>
                </c:pt>
                <c:pt idx="8">
                  <c:v>65.909090909090907</c:v>
                </c:pt>
                <c:pt idx="9">
                  <c:v>73.272727272727252</c:v>
                </c:pt>
                <c:pt idx="10">
                  <c:v>80.636363636363626</c:v>
                </c:pt>
                <c:pt idx="11">
                  <c:v>87.999999999999972</c:v>
                </c:pt>
              </c:numCache>
            </c:numRef>
          </c:cat>
          <c:val>
            <c:numRef>
              <c:f>'Выборка B'!$B$105:$B$116</c:f>
              <c:numCache>
                <c:formatCode>0.000</c:formatCode>
                <c:ptCount val="12"/>
                <c:pt idx="0">
                  <c:v>9.7804087520761873E-4</c:v>
                </c:pt>
                <c:pt idx="1">
                  <c:v>2.1283912225640769E-3</c:v>
                </c:pt>
                <c:pt idx="2">
                  <c:v>4.5117166357244902E-3</c:v>
                </c:pt>
                <c:pt idx="3">
                  <c:v>9.0496804000143576E-3</c:v>
                </c:pt>
                <c:pt idx="4">
                  <c:v>1.6271892426943886E-2</c:v>
                </c:pt>
                <c:pt idx="5">
                  <c:v>2.4134471334074901E-2</c:v>
                </c:pt>
                <c:pt idx="6">
                  <c:v>2.7073676059103425E-2</c:v>
                </c:pt>
                <c:pt idx="7">
                  <c:v>2.2258112108626799E-2</c:v>
                </c:pt>
                <c:pt idx="8">
                  <c:v>1.4124890079713326E-2</c:v>
                </c:pt>
                <c:pt idx="9">
                  <c:v>7.5763139374421121E-3</c:v>
                </c:pt>
                <c:pt idx="10">
                  <c:v>3.7068132883890793E-3</c:v>
                </c:pt>
                <c:pt idx="11">
                  <c:v>1.7329167555602879E-3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94-491A-83CE-83A16ADD813D}"/>
            </c:ext>
          </c:extLst>
        </c:ser>
        <c:ser>
          <c:idx val="1"/>
          <c:order val="1"/>
          <c:tx>
            <c:strRef>
              <c:f>'Выборка B'!$C$104</c:f>
              <c:strCache>
                <c:ptCount val="1"/>
                <c:pt idx="0">
                  <c:v>Частоты выборки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'Выборка B'!$A$105:$A$116</c:f>
              <c:numCache>
                <c:formatCode>0.000</c:formatCode>
                <c:ptCount val="12"/>
                <c:pt idx="0">
                  <c:v>7</c:v>
                </c:pt>
                <c:pt idx="1">
                  <c:v>14.363636363636363</c:v>
                </c:pt>
                <c:pt idx="2">
                  <c:v>21.727272727272727</c:v>
                </c:pt>
                <c:pt idx="3">
                  <c:v>29.090909090909093</c:v>
                </c:pt>
                <c:pt idx="4">
                  <c:v>36.454545454545453</c:v>
                </c:pt>
                <c:pt idx="5">
                  <c:v>43.81818181818182</c:v>
                </c:pt>
                <c:pt idx="6">
                  <c:v>51.18181818181818</c:v>
                </c:pt>
                <c:pt idx="7">
                  <c:v>58.54545454545454</c:v>
                </c:pt>
                <c:pt idx="8">
                  <c:v>65.909090909090907</c:v>
                </c:pt>
                <c:pt idx="9">
                  <c:v>73.272727272727252</c:v>
                </c:pt>
                <c:pt idx="10">
                  <c:v>80.636363636363626</c:v>
                </c:pt>
                <c:pt idx="11">
                  <c:v>87.999999999999972</c:v>
                </c:pt>
              </c:numCache>
            </c:numRef>
          </c:cat>
          <c:val>
            <c:numRef>
              <c:f>'Выборка B'!$C$105:$C$116</c:f>
              <c:numCache>
                <c:formatCode>0.000</c:formatCode>
                <c:ptCount val="12"/>
                <c:pt idx="0">
                  <c:v>1.2933568489124046E-3</c:v>
                </c:pt>
                <c:pt idx="1">
                  <c:v>4.5267489711934162E-3</c:v>
                </c:pt>
                <c:pt idx="2">
                  <c:v>3.8800705467372134E-3</c:v>
                </c:pt>
                <c:pt idx="3">
                  <c:v>8.4068195179306301E-3</c:v>
                </c:pt>
                <c:pt idx="4">
                  <c:v>1.8106995884773665E-2</c:v>
                </c:pt>
                <c:pt idx="5">
                  <c:v>2.3280423280423283E-2</c:v>
                </c:pt>
                <c:pt idx="6">
                  <c:v>2.3927101704879484E-2</c:v>
                </c:pt>
                <c:pt idx="7">
                  <c:v>1.9400352733686069E-2</c:v>
                </c:pt>
                <c:pt idx="8">
                  <c:v>1.4226925338036451E-2</c:v>
                </c:pt>
                <c:pt idx="9">
                  <c:v>1.2286890064667844E-2</c:v>
                </c:pt>
                <c:pt idx="10">
                  <c:v>4.5267489711934162E-3</c:v>
                </c:pt>
                <c:pt idx="11">
                  <c:v>1.9400352733686067E-3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94-491A-83CE-83A16ADD8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3425327"/>
        <c:axId val="1833422447"/>
      </c:lineChart>
      <c:catAx>
        <c:axId val="183342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422447"/>
        <c:crosses val="autoZero"/>
        <c:auto val="1"/>
        <c:lblAlgn val="ctr"/>
        <c:lblOffset val="100"/>
        <c:noMultiLvlLbl val="0"/>
      </c:catAx>
      <c:valAx>
        <c:axId val="183342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425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теоретических частот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'Выборка B'!$B$149</c:f>
              <c:strCache>
                <c:ptCount val="1"/>
                <c:pt idx="0">
                  <c:v>Частоты выборки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'Выборка B'!$A$150:$A$161</c:f>
              <c:numCache>
                <c:formatCode>0.000</c:formatCode>
                <c:ptCount val="12"/>
                <c:pt idx="0">
                  <c:v>7</c:v>
                </c:pt>
                <c:pt idx="1">
                  <c:v>14.363636363636363</c:v>
                </c:pt>
                <c:pt idx="2">
                  <c:v>21.727272727272727</c:v>
                </c:pt>
                <c:pt idx="3">
                  <c:v>29.090909090909093</c:v>
                </c:pt>
                <c:pt idx="4">
                  <c:v>36.454545454545453</c:v>
                </c:pt>
                <c:pt idx="5">
                  <c:v>43.81818181818182</c:v>
                </c:pt>
                <c:pt idx="6">
                  <c:v>51.18181818181818</c:v>
                </c:pt>
                <c:pt idx="7">
                  <c:v>58.54545454545454</c:v>
                </c:pt>
                <c:pt idx="8">
                  <c:v>65.909090909090907</c:v>
                </c:pt>
                <c:pt idx="9">
                  <c:v>73.272727272727252</c:v>
                </c:pt>
                <c:pt idx="10">
                  <c:v>80.636363636363626</c:v>
                </c:pt>
                <c:pt idx="11">
                  <c:v>87.999999999999972</c:v>
                </c:pt>
              </c:numCache>
            </c:numRef>
          </c:xVal>
          <c:yVal>
            <c:numRef>
              <c:f>'Выборка B'!$B$150:$B$161</c:f>
              <c:numCache>
                <c:formatCode>0.000</c:formatCode>
                <c:ptCount val="12"/>
                <c:pt idx="0">
                  <c:v>2</c:v>
                </c:pt>
                <c:pt idx="1">
                  <c:v>7</c:v>
                </c:pt>
                <c:pt idx="2">
                  <c:v>6</c:v>
                </c:pt>
                <c:pt idx="3">
                  <c:v>13</c:v>
                </c:pt>
                <c:pt idx="4">
                  <c:v>28</c:v>
                </c:pt>
                <c:pt idx="5">
                  <c:v>36</c:v>
                </c:pt>
                <c:pt idx="6">
                  <c:v>37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7</c:v>
                </c:pt>
                <c:pt idx="1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21-419A-B2F1-70B01A682C62}"/>
            </c:ext>
          </c:extLst>
        </c:ser>
        <c:ser>
          <c:idx val="1"/>
          <c:order val="1"/>
          <c:tx>
            <c:strRef>
              <c:f>'Выборка B'!$C$149</c:f>
              <c:strCache>
                <c:ptCount val="1"/>
                <c:pt idx="0">
                  <c:v>Теоретические 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'Выборка B'!$A$150:$A$161</c:f>
              <c:numCache>
                <c:formatCode>0.000</c:formatCode>
                <c:ptCount val="12"/>
                <c:pt idx="0">
                  <c:v>7</c:v>
                </c:pt>
                <c:pt idx="1">
                  <c:v>14.363636363636363</c:v>
                </c:pt>
                <c:pt idx="2">
                  <c:v>21.727272727272727</c:v>
                </c:pt>
                <c:pt idx="3">
                  <c:v>29.090909090909093</c:v>
                </c:pt>
                <c:pt idx="4">
                  <c:v>36.454545454545453</c:v>
                </c:pt>
                <c:pt idx="5">
                  <c:v>43.81818181818182</c:v>
                </c:pt>
                <c:pt idx="6">
                  <c:v>51.18181818181818</c:v>
                </c:pt>
                <c:pt idx="7">
                  <c:v>58.54545454545454</c:v>
                </c:pt>
                <c:pt idx="8">
                  <c:v>65.909090909090907</c:v>
                </c:pt>
                <c:pt idx="9">
                  <c:v>73.272727272727252</c:v>
                </c:pt>
                <c:pt idx="10">
                  <c:v>80.636363636363626</c:v>
                </c:pt>
                <c:pt idx="11">
                  <c:v>87.999999999999972</c:v>
                </c:pt>
              </c:numCache>
            </c:numRef>
          </c:xVal>
          <c:yVal>
            <c:numRef>
              <c:f>'Выборка B'!$C$150:$C$161</c:f>
              <c:numCache>
                <c:formatCode>0.000</c:formatCode>
                <c:ptCount val="12"/>
                <c:pt idx="0">
                  <c:v>1.3197441828318446</c:v>
                </c:pt>
                <c:pt idx="1">
                  <c:v>3.727474516456875</c:v>
                </c:pt>
                <c:pt idx="2">
                  <c:v>8.675935833795906</c:v>
                </c:pt>
                <c:pt idx="3">
                  <c:v>16.641585532401272</c:v>
                </c:pt>
                <c:pt idx="4">
                  <c:v>26.305695783036995</c:v>
                </c:pt>
                <c:pt idx="5">
                  <c:v>34.267435732270393</c:v>
                </c:pt>
                <c:pt idx="6">
                  <c:v>36.786641696700435</c:v>
                </c:pt>
                <c:pt idx="7">
                  <c:v>32.544334825028983</c:v>
                </c:pt>
                <c:pt idx="8">
                  <c:v>23.726702140558892</c:v>
                </c:pt>
                <c:pt idx="9">
                  <c:v>14.255290726811582</c:v>
                </c:pt>
                <c:pt idx="10">
                  <c:v>7.0581600351071998</c:v>
                </c:pt>
                <c:pt idx="11">
                  <c:v>2.8799413625574699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21-419A-B2F1-70B01A682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948943"/>
        <c:axId val="376949423"/>
      </c:scatterChart>
      <c:valAx>
        <c:axId val="376948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Значения </a:t>
                </a: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949423"/>
        <c:crosses val="autoZero"/>
        <c:crossBetween val="midCat"/>
      </c:valAx>
      <c:valAx>
        <c:axId val="37694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Частоты</a:t>
                </a:r>
                <a:r>
                  <a:rPr lang="ru-RU" baseline="0"/>
                  <a:t> </a:t>
                </a:r>
                <a:r>
                  <a:rPr lang="en-US" baseline="0"/>
                  <a:t>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948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График теоретических частот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'Выборка B'!$B$212</c:f>
              <c:strCache>
                <c:ptCount val="1"/>
                <c:pt idx="0">
                  <c:v>Частоты выборки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'Выборка B'!$A$213:$A$224</c:f>
              <c:numCache>
                <c:formatCode>0.000</c:formatCode>
                <c:ptCount val="12"/>
                <c:pt idx="0">
                  <c:v>7</c:v>
                </c:pt>
                <c:pt idx="1">
                  <c:v>14.363636363636363</c:v>
                </c:pt>
                <c:pt idx="2">
                  <c:v>21.727272727272727</c:v>
                </c:pt>
                <c:pt idx="3">
                  <c:v>29.090909090909093</c:v>
                </c:pt>
                <c:pt idx="4">
                  <c:v>36.454545454545453</c:v>
                </c:pt>
                <c:pt idx="5">
                  <c:v>43.81818181818182</c:v>
                </c:pt>
                <c:pt idx="6">
                  <c:v>51.18181818181818</c:v>
                </c:pt>
                <c:pt idx="7">
                  <c:v>58.54545454545454</c:v>
                </c:pt>
                <c:pt idx="8">
                  <c:v>65.909090909090907</c:v>
                </c:pt>
                <c:pt idx="9">
                  <c:v>73.272727272727252</c:v>
                </c:pt>
                <c:pt idx="10">
                  <c:v>80.636363636363626</c:v>
                </c:pt>
                <c:pt idx="11">
                  <c:v>87.999999999999972</c:v>
                </c:pt>
              </c:numCache>
            </c:numRef>
          </c:xVal>
          <c:yVal>
            <c:numRef>
              <c:f>'Выборка B'!$B$213:$B$224</c:f>
              <c:numCache>
                <c:formatCode>0.000</c:formatCode>
                <c:ptCount val="12"/>
                <c:pt idx="0">
                  <c:v>2</c:v>
                </c:pt>
                <c:pt idx="1">
                  <c:v>7</c:v>
                </c:pt>
                <c:pt idx="2">
                  <c:v>6</c:v>
                </c:pt>
                <c:pt idx="3">
                  <c:v>13</c:v>
                </c:pt>
                <c:pt idx="4">
                  <c:v>28</c:v>
                </c:pt>
                <c:pt idx="5">
                  <c:v>36</c:v>
                </c:pt>
                <c:pt idx="6">
                  <c:v>37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7</c:v>
                </c:pt>
                <c:pt idx="1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CD-415E-823A-ED546A232552}"/>
            </c:ext>
          </c:extLst>
        </c:ser>
        <c:ser>
          <c:idx val="1"/>
          <c:order val="1"/>
          <c:tx>
            <c:strRef>
              <c:f>'Выборка B'!$C$212</c:f>
              <c:strCache>
                <c:ptCount val="1"/>
                <c:pt idx="0">
                  <c:v>Теоретические 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'Выборка B'!$A$213:$A$224</c:f>
              <c:numCache>
                <c:formatCode>0.000</c:formatCode>
                <c:ptCount val="12"/>
                <c:pt idx="0">
                  <c:v>7</c:v>
                </c:pt>
                <c:pt idx="1">
                  <c:v>14.363636363636363</c:v>
                </c:pt>
                <c:pt idx="2">
                  <c:v>21.727272727272727</c:v>
                </c:pt>
                <c:pt idx="3">
                  <c:v>29.090909090909093</c:v>
                </c:pt>
                <c:pt idx="4">
                  <c:v>36.454545454545453</c:v>
                </c:pt>
                <c:pt idx="5">
                  <c:v>43.81818181818182</c:v>
                </c:pt>
                <c:pt idx="6">
                  <c:v>51.18181818181818</c:v>
                </c:pt>
                <c:pt idx="7">
                  <c:v>58.54545454545454</c:v>
                </c:pt>
                <c:pt idx="8">
                  <c:v>65.909090909090907</c:v>
                </c:pt>
                <c:pt idx="9">
                  <c:v>73.272727272727252</c:v>
                </c:pt>
                <c:pt idx="10">
                  <c:v>80.636363636363626</c:v>
                </c:pt>
                <c:pt idx="11">
                  <c:v>87.999999999999972</c:v>
                </c:pt>
              </c:numCache>
            </c:numRef>
          </c:xVal>
          <c:yVal>
            <c:numRef>
              <c:f>'Выборка B'!$C$213:$C$224</c:f>
              <c:numCache>
                <c:formatCode>0.000</c:formatCode>
                <c:ptCount val="12"/>
                <c:pt idx="0">
                  <c:v>1.5124068442983267</c:v>
                </c:pt>
                <c:pt idx="1">
                  <c:v>3.2912667905286312</c:v>
                </c:pt>
                <c:pt idx="2">
                  <c:v>6.9767545430612339</c:v>
                </c:pt>
                <c:pt idx="3">
                  <c:v>13.99409669129493</c:v>
                </c:pt>
                <c:pt idx="4">
                  <c:v>25.162262743846863</c:v>
                </c:pt>
                <c:pt idx="5">
                  <c:v>37.320668853874004</c:v>
                </c:pt>
                <c:pt idx="6">
                  <c:v>41.865748160486291</c:v>
                </c:pt>
                <c:pt idx="7">
                  <c:v>34.419135178885625</c:v>
                </c:pt>
                <c:pt idx="8">
                  <c:v>21.842216386902152</c:v>
                </c:pt>
                <c:pt idx="9">
                  <c:v>11.715736370535483</c:v>
                </c:pt>
                <c:pt idx="10">
                  <c:v>5.7320812759543847</c:v>
                </c:pt>
                <c:pt idx="11">
                  <c:v>2.6797194556436814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CD-415E-823A-ED546A232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652607"/>
        <c:axId val="320653567"/>
      </c:scatterChart>
      <c:valAx>
        <c:axId val="320652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Значения</a:t>
                </a:r>
                <a:r>
                  <a:rPr lang="ru-RU" baseline="0"/>
                  <a:t> </a:t>
                </a:r>
                <a:r>
                  <a:rPr lang="en-US" baseline="0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653567"/>
        <c:crosses val="autoZero"/>
        <c:crossBetween val="midCat"/>
      </c:valAx>
      <c:valAx>
        <c:axId val="32065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Частоты </a:t>
                </a:r>
                <a:r>
                  <a:rPr lang="en-US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652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ru-RU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Эмпирическая функция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67668A42-FFB2-4378-8E1E-740ECD5B6F05}" formatIdx="0">
          <cx:dataId val="0"/>
          <cx:layoutPr>
            <cx:aggregation/>
          </cx:layoutPr>
        </cx:series>
      </cx:plotAreaRegion>
      <cx:axis id="0">
        <cx:catScaling gapWidth="0"/>
        <cx:tickLabels/>
      </cx:axis>
      <cx:axis id="1">
        <cx:valScaling max="1"/>
        <cx:majorGridlines/>
        <cx:tickLabels/>
        <cx:numFmt formatCode="0.0" sourceLinked="0"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_xlchart.v1.4</cx:f>
      </cx:numDim>
    </cx:data>
    <cx:data id="1">
      <cx:strDim type="cat">
        <cx:f>_xlchart.v1.5</cx:f>
      </cx:strDim>
      <cx:numDim type="val">
        <cx:f>_xlchart.v1.2</cx:f>
      </cx:numDim>
    </cx:data>
  </cx:chartData>
  <cx:chart>
    <cx:title pos="t" align="ctr" overlay="0">
      <cx:tx>
        <cx:txData>
          <cx:v>Гистограмма относительных частот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ru-RU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 panose="020F0502020204030204"/>
            </a:rPr>
            <a:t>Гистограмма относительных частот</a:t>
          </a:r>
        </a:p>
      </cx:txPr>
    </cx:title>
    <cx:plotArea>
      <cx:plotAreaRegion>
        <cx:series layoutId="clusteredColumn" uniqueId="{2A45A5CF-D12C-4776-8A24-D22A2C9584D8}" formatIdx="0">
          <cx:dataPt idx="6">
            <cx:spPr>
              <a:solidFill>
                <a:srgbClr val="70AD47"/>
              </a:solidFill>
            </cx:spPr>
          </cx:dataPt>
          <cx:dataId val="0"/>
          <cx:layoutPr>
            <cx:aggregation/>
          </cx:layoutPr>
        </cx:series>
        <cx:series layoutId="clusteredColumn" hidden="1" uniqueId="{00000003-08E8-42C3-BFF9-CB61ACADC95F}" formatIdx="0">
          <cx:tx>
            <cx:txData>
              <cx:f/>
              <cx:v>Мода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minorGridlines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_xlchart.v1.7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ru-RU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Эмпирическая функция</a:t>
            </a:r>
            <a:endPara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 panose="020F0502020204030204"/>
            </a:endParaRPr>
          </a:p>
        </cx:rich>
      </cx:tx>
    </cx:title>
    <cx:plotArea>
      <cx:plotAreaRegion>
        <cx:series layoutId="clusteredColumn" uniqueId="{300FC28C-7583-4C62-9E57-0DB2E16B4D66}" formatIdx="0">
          <cx:dataId val="0"/>
          <cx:layoutPr>
            <cx:aggregation/>
          </cx:layoutPr>
        </cx:series>
      </cx:plotAreaRegion>
      <cx:axis id="0">
        <cx:catScaling gapWidth="0"/>
        <cx:tickLabels/>
      </cx:axis>
      <cx:axis id="1">
        <cx:valScaling max="1"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7" Type="http://schemas.openxmlformats.org/officeDocument/2006/relationships/chart" Target="../charts/chart10.xml"/><Relationship Id="rId2" Type="http://schemas.openxmlformats.org/officeDocument/2006/relationships/chart" Target="../charts/chart6.xml"/><Relationship Id="rId1" Type="http://schemas.microsoft.com/office/2014/relationships/chartEx" Target="../charts/chartEx2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19</xdr:row>
      <xdr:rowOff>180976</xdr:rowOff>
    </xdr:from>
    <xdr:to>
      <xdr:col>5</xdr:col>
      <xdr:colOff>495300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F4FE74-C657-FE42-2AF1-C20B1373AB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471486</xdr:colOff>
      <xdr:row>19</xdr:row>
      <xdr:rowOff>185735</xdr:rowOff>
    </xdr:from>
    <xdr:to>
      <xdr:col>11</xdr:col>
      <xdr:colOff>19049</xdr:colOff>
      <xdr:row>38</xdr:row>
      <xdr:rowOff>9524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5" name="Chart 24">
              <a:extLst>
                <a:ext uri="{FF2B5EF4-FFF2-40B4-BE49-F238E27FC236}">
                  <a16:creationId xmlns:a16="http://schemas.microsoft.com/office/drawing/2014/main" id="{094AF0C4-3225-75A1-F3D9-B26C15A5B6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57986" y="3852860"/>
              <a:ext cx="6110288" cy="34432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557211</xdr:colOff>
      <xdr:row>21</xdr:row>
      <xdr:rowOff>152400</xdr:rowOff>
    </xdr:from>
    <xdr:to>
      <xdr:col>10</xdr:col>
      <xdr:colOff>638175</xdr:colOff>
      <xdr:row>38</xdr:row>
      <xdr:rowOff>157162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CEABCEE-04CB-5B2F-AF55-E8D40DE147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</xdr:colOff>
      <xdr:row>82</xdr:row>
      <xdr:rowOff>176211</xdr:rowOff>
    </xdr:from>
    <xdr:to>
      <xdr:col>5</xdr:col>
      <xdr:colOff>0</xdr:colOff>
      <xdr:row>100</xdr:row>
      <xdr:rowOff>28574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A24394-F897-41CC-917A-51D38C86FA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</xdr:col>
      <xdr:colOff>1162050</xdr:colOff>
      <xdr:row>150</xdr:row>
      <xdr:rowOff>14287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5B3C73E-5BF2-C544-943F-57EE454F3D00}"/>
            </a:ext>
          </a:extLst>
        </xdr:cNvPr>
        <xdr:cNvSpPr txBox="1"/>
      </xdr:nvSpPr>
      <xdr:spPr>
        <a:xfrm>
          <a:off x="8458200" y="242839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571500</xdr:colOff>
      <xdr:row>107</xdr:row>
      <xdr:rowOff>176211</xdr:rowOff>
    </xdr:from>
    <xdr:ext cx="2019300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803ECD2E-29F6-18F4-3F29-A17CF19417CD}"/>
                </a:ext>
              </a:extLst>
            </xdr:cNvPr>
            <xdr:cNvSpPr txBox="1"/>
          </xdr:nvSpPr>
          <xdr:spPr>
            <a:xfrm>
              <a:off x="571500" y="20683536"/>
              <a:ext cx="2019300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−1</m:t>
                        </m:r>
                      </m:num>
                      <m:den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ru-RU" sz="1100" b="0" i="1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̅"/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</m:acc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±</m:t>
                    </m:r>
                    <m:rad>
                      <m:radPr>
                        <m:degHide m:val="on"/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n-US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en-US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  <m:acc>
                                      <m:accPr>
                                        <m:chr m:val="̅"/>
                                        <m:ctrlPr>
                                          <a:rPr lang="en-US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accPr>
                                      <m:e>
                                        <m:r>
                                          <a:rPr lang="en-US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𝑥</m:t>
                                        </m:r>
                                      </m:e>
                                    </m:acc>
                                    <m:r>
                                      <a:rPr lang="en-US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+1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−1</m:t>
                            </m:r>
                          </m:num>
                          <m:den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12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𝑁</m:t>
                            </m:r>
                          </m:den>
                        </m:f>
                      </m:e>
                    </m:rad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𝑢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803ECD2E-29F6-18F4-3F29-A17CF19417CD}"/>
                </a:ext>
              </a:extLst>
            </xdr:cNvPr>
            <xdr:cNvSpPr txBox="1"/>
          </xdr:nvSpPr>
          <xdr:spPr>
            <a:xfrm>
              <a:off x="571500" y="20683536"/>
              <a:ext cx="2019300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n-US" sz="1100" i="0">
                  <a:latin typeface="Cambria Math" panose="02040503050406030204" pitchFamily="18" charset="0"/>
                </a:rPr>
                <a:t>𝑛−1</a:t>
              </a:r>
              <a:r>
                <a:rPr lang="en-US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</a:t>
              </a:r>
              <a:r>
                <a:rPr lang="en-US" sz="1100" i="0">
                  <a:latin typeface="Cambria Math" panose="02040503050406030204" pitchFamily="18" charset="0"/>
                </a:rPr>
                <a:t>2</a:t>
              </a:r>
              <a:r>
                <a:rPr lang="ru-RU" sz="1100" b="0" i="0">
                  <a:latin typeface="Cambria Math" panose="02040503050406030204" pitchFamily="18" charset="0"/>
                </a:rPr>
                <a:t>=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 ̅±√(((2𝑥 ̅+1)^2−1)/12𝑁) 𝑢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0</xdr:col>
      <xdr:colOff>47624</xdr:colOff>
      <xdr:row>125</xdr:row>
      <xdr:rowOff>4762</xdr:rowOff>
    </xdr:from>
    <xdr:to>
      <xdr:col>4</xdr:col>
      <xdr:colOff>1381124</xdr:colOff>
      <xdr:row>144</xdr:row>
      <xdr:rowOff>9525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5D926D-B81D-0CAF-52F2-82BB123908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14286</xdr:colOff>
      <xdr:row>172</xdr:row>
      <xdr:rowOff>4761</xdr:rowOff>
    </xdr:from>
    <xdr:to>
      <xdr:col>4</xdr:col>
      <xdr:colOff>1371600</xdr:colOff>
      <xdr:row>191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2B9A8B0-687C-9B34-0304-5C0475FE57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4762</xdr:rowOff>
    </xdr:from>
    <xdr:to>
      <xdr:col>4</xdr:col>
      <xdr:colOff>800100</xdr:colOff>
      <xdr:row>52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Ф">
              <a:extLst>
                <a:ext uri="{FF2B5EF4-FFF2-40B4-BE49-F238E27FC236}">
                  <a16:creationId xmlns:a16="http://schemas.microsoft.com/office/drawing/2014/main" id="{9A90CE9E-C522-97AA-72FC-20FCB29FB9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910387"/>
              <a:ext cx="7696200" cy="30432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804861</xdr:colOff>
      <xdr:row>36</xdr:row>
      <xdr:rowOff>4761</xdr:rowOff>
    </xdr:from>
    <xdr:to>
      <xdr:col>7</xdr:col>
      <xdr:colOff>1657350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BD621C-EFC7-7691-C1A5-A8C8D29A82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52</xdr:row>
      <xdr:rowOff>0</xdr:rowOff>
    </xdr:from>
    <xdr:to>
      <xdr:col>5</xdr:col>
      <xdr:colOff>9525</xdr:colOff>
      <xdr:row>65</xdr:row>
      <xdr:rowOff>47626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DB9BD784-63C0-4D6A-6897-5303A482E9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" y="9953625"/>
              <a:ext cx="7715249" cy="25241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804862</xdr:colOff>
      <xdr:row>51</xdr:row>
      <xdr:rowOff>185737</xdr:rowOff>
    </xdr:from>
    <xdr:to>
      <xdr:col>7</xdr:col>
      <xdr:colOff>1657350</xdr:colOff>
      <xdr:row>65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A8B7F81-853A-8103-4334-64B00E720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116</xdr:row>
      <xdr:rowOff>4762</xdr:rowOff>
    </xdr:from>
    <xdr:to>
      <xdr:col>4</xdr:col>
      <xdr:colOff>0</xdr:colOff>
      <xdr:row>133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AADEC6E-BEE6-2454-C3D4-C291C9AE26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160</xdr:row>
      <xdr:rowOff>185737</xdr:rowOff>
    </xdr:from>
    <xdr:to>
      <xdr:col>5</xdr:col>
      <xdr:colOff>9525</xdr:colOff>
      <xdr:row>179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375A1B-75BA-DD68-D179-D312541B6B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0</xdr:col>
      <xdr:colOff>1162050</xdr:colOff>
      <xdr:row>199</xdr:row>
      <xdr:rowOff>14287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E9FB3AF-B3D1-4E15-8027-1D879341FA18}"/>
            </a:ext>
          </a:extLst>
        </xdr:cNvPr>
        <xdr:cNvSpPr txBox="1"/>
      </xdr:nvSpPr>
      <xdr:spPr>
        <a:xfrm>
          <a:off x="2409825" y="287226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0</xdr:colOff>
      <xdr:row>224</xdr:row>
      <xdr:rowOff>4761</xdr:rowOff>
    </xdr:from>
    <xdr:to>
      <xdr:col>4</xdr:col>
      <xdr:colOff>795338</xdr:colOff>
      <xdr:row>245</xdr:row>
      <xdr:rowOff>47624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021FBBF-DFB5-B44F-8513-D87388A0D5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35DE4F3-E92C-488A-8096-30C0C69C7D87}" name="Processing" displayName="Processing" ref="A11:K19">
  <autoFilter ref="A11:K19" xr:uid="{535DE4F3-E92C-488A-8096-30C0C69C7D87}"/>
  <tableColumns count="11">
    <tableColumn id="1" xr3:uid="{F0A2D5FD-BEDB-4385-8B60-42BFA401ADC4}" name="№" totalsRowLabel="Total"/>
    <tableColumn id="2" xr3:uid="{C255CDD7-30A6-405B-9438-DA6714052CE0}" name="Значения x"/>
    <tableColumn id="3" xr3:uid="{7D2FE3B1-43C7-4669-89A4-75517BD1DBD4}" name="Частоты n">
      <calculatedColumnFormula>COUNTIF(data,B12)</calculatedColumnFormula>
    </tableColumn>
    <tableColumn id="10" xr3:uid="{9277CA60-6316-411E-B1B0-FA21B7BF2FB1}" name="Интервалы"/>
    <tableColumn id="4" xr3:uid="{6A118C9F-5EB2-4830-A122-4FFE0C144CD7}" name="Накопленные частоты">
      <calculatedColumnFormula>SUM($C$12:C12)</calculatedColumnFormula>
    </tableColumn>
    <tableColumn id="5" xr3:uid="{E457A3C6-83DE-4883-AC18-BC5D9D105A82}" name="Относительные частоты" dataDxfId="103">
      <calculatedColumnFormula>C12/$C$20</calculatedColumnFormula>
    </tableColumn>
    <tableColumn id="6" xr3:uid="{7EA42BBE-2DD3-4E68-9097-3C1DD25C18B5}" name="Накопленные относительные частоты" totalsRowFunction="sum" dataDxfId="102" totalsRowDxfId="101">
      <calculatedColumnFormula>SUM($F$12:F12)</calculatedColumnFormula>
    </tableColumn>
    <tableColumn id="11" xr3:uid="{94A8AAF1-86EA-486B-B4E8-884419A42357}" name="x*n" dataDxfId="100">
      <calculatedColumnFormula>Processing[[#This Row],[Частоты n]]*Processing[[#This Row],[Значения x]]</calculatedColumnFormula>
    </tableColumn>
    <tableColumn id="12" xr3:uid="{124E2BA4-C500-452C-A948-9729DC04192C}" name="x^2*n" dataDxfId="99">
      <calculatedColumnFormula>Processing[[#This Row],[Значения x]]^2*Processing[[#This Row],[Частоты n]]</calculatedColumnFormula>
    </tableColumn>
    <tableColumn id="13" xr3:uid="{3917BFFD-1444-4A38-909B-FBA71BA2B825}" name="x^3*n" dataDxfId="98">
      <calculatedColumnFormula>Processing[[#This Row],[Значения x]]^3*Processing[[#This Row],[Частоты n]]</calculatedColumnFormula>
    </tableColumn>
    <tableColumn id="14" xr3:uid="{5F3332D7-3134-4DF3-A0FF-41F0B8202241}" name="x^4*n" dataDxfId="97">
      <calculatedColumnFormula>Processing[[#This Row],[Значения x]]^4*Processing[[#This Row],[Частоты n]]</calculatedColumnFormula>
    </tableColumn>
  </tableColumns>
  <tableStyleInfo name="TableStyleLight1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176956-3D73-47C2-A1D8-BD5AB4E5BE4D}" name="Table2" displayName="Table2" ref="A63:B71" totalsRowShown="0">
  <autoFilter ref="A63:B71" xr:uid="{C3176956-3D73-47C2-A1D8-BD5AB4E5BE4D}"/>
  <tableColumns count="2">
    <tableColumn id="1" xr3:uid="{1577F04E-365A-452C-A323-43625E235622}" name="Значения x"/>
    <tableColumn id="2" xr3:uid="{E0DDA44F-3FC5-44EB-824E-79707516A4C8}" name="Частоты" dataDxfId="96">
      <calculatedColumnFormula>1/$E$69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667824-CD2E-43E4-BDA7-40ACD5FAF99D}" name="Table4" displayName="Table4" ref="D63:F67" totalsRowShown="0">
  <autoFilter ref="D63:F67" xr:uid="{6B667824-CD2E-43E4-BDA7-40ACD5FAF99D}"/>
  <tableColumns count="3">
    <tableColumn id="1" xr3:uid="{E8A83698-7A35-4D49-BFA6-EF99F926479D}" name="Коэффициенты" dataDxfId="95"/>
    <tableColumn id="2" xr3:uid="{E133873E-4098-4531-8960-ED4E13B72BB0}" name="Значения" dataDxfId="94"/>
    <tableColumn id="3" xr3:uid="{4982A6DA-0BF0-4555-86FD-D71226B0D72D}" name="Погрешность (абсолютная)" dataDxfId="93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BE86761-AA3B-4DC4-AE3B-9FB3BA5CF2F2}" name="Table28" displayName="Table28" ref="A75:C83" totalsRowShown="0">
  <autoFilter ref="A75:C83" xr:uid="{0BE86761-AA3B-4DC4-AE3B-9FB3BA5CF2F2}"/>
  <tableColumns count="3">
    <tableColumn id="1" xr3:uid="{EB4341B8-72AF-4B5D-BFF7-F5D0C2EA79FE}" name="Значения x"/>
    <tableColumn id="2" xr3:uid="{F5E7ED29-4643-472C-9B93-85E09EE11694}" name="Частоты" dataDxfId="92">
      <calculatedColumnFormula>EXP(-$F$81)*$F$81^Table28[[#This Row],[Значения x]]/FACT(Table28[[#This Row],[Значения x]])</calculatedColumnFormula>
    </tableColumn>
    <tableColumn id="3" xr3:uid="{DD193C45-A37D-4704-9C0E-FF5DDF464668}" name="Частоты выборки" dataDxfId="91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57B34D-386D-4136-A6D4-F174BD51E22E}" name="Table49" displayName="Table49" ref="E75:G79" totalsRowShown="0">
  <autoFilter ref="E75:G79" xr:uid="{6957B34D-386D-4136-A6D4-F174BD51E22E}"/>
  <tableColumns count="3">
    <tableColumn id="1" xr3:uid="{702CA2D5-3A84-42B8-B134-3C87F4D485B1}" name="Коэффициенты" dataDxfId="90"/>
    <tableColumn id="2" xr3:uid="{606D201C-FCC0-484C-8DB0-B23F25259CC5}" name="Значения" dataDxfId="89"/>
    <tableColumn id="3" xr3:uid="{921A356C-41D8-4152-BB71-148DF704E224}" name="Погрешность (абсолютная)" dataDxfId="88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B145A08-C790-40B6-80BD-A054AC31FEAD}" name="Table11" displayName="Table11" ref="A116:D125" totalsRowCount="1">
  <autoFilter ref="A116:D124" xr:uid="{1B145A08-C790-40B6-80BD-A054AC31FEAD}"/>
  <tableColumns count="4">
    <tableColumn id="1" xr3:uid="{F41BCEA1-366A-4C51-9D70-E68962C8BDC1}" name="Значения x" dataDxfId="87" totalsRowDxfId="86"/>
    <tableColumn id="2" xr3:uid="{1A4AF809-75F0-4417-AEBD-3C28712F6CE3}" name="Частоты выборки" dataDxfId="85" totalsRowDxfId="84">
      <calculatedColumnFormula>COUNTIF(data,A117)</calculatedColumnFormula>
    </tableColumn>
    <tableColumn id="3" xr3:uid="{CD7C2092-7FD5-4D71-B3F6-D7083D08F569}" name="Теоретические n" dataDxfId="83" totalsRowDxfId="82">
      <calculatedColumnFormula>1/$E$69*$C$20</calculatedColumnFormula>
    </tableColumn>
    <tableColumn id="4" xr3:uid="{2654E0EA-5572-4003-9E5A-08B5DBA974D5}" name="Расхождения" totalsRowFunction="custom" dataDxfId="81" totalsRowDxfId="80">
      <calculatedColumnFormula>(Table11[[#This Row],[Теоретические n]]-Table11[[#This Row],[Частоты выборки]])^2/Table11[[#This Row],[Теоретические n]]</calculatedColumnFormula>
      <totalsRowFormula>SUM(Table11[Расхождения])</totalsRow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6813117-7D57-4A63-9EC6-CAA91E5E86D3}" name="Table17" displayName="Table17" ref="A163:D172" totalsRowCount="1">
  <autoFilter ref="A163:D171" xr:uid="{16813117-7D57-4A63-9EC6-CAA91E5E86D3}"/>
  <tableColumns count="4">
    <tableColumn id="1" xr3:uid="{8CFED9BA-C15E-467B-8F75-8BCFAC9E6432}" name="Значения x" dataDxfId="79" totalsRowDxfId="78"/>
    <tableColumn id="2" xr3:uid="{4EA64204-4130-4775-AAC9-476E389A1678}" name="Частоты выборки" dataDxfId="77" totalsRowDxfId="76">
      <calculatedColumnFormula>COUNTIF(data,A164)</calculatedColumnFormula>
    </tableColumn>
    <tableColumn id="3" xr3:uid="{53FE0D9A-2E15-44DD-A016-CC8296442FF6}" name="Теоретические n" dataDxfId="75" totalsRowDxfId="74">
      <calculatedColumnFormula>POISSON(A164,$F$81, FALSE)*$C$20</calculatedColumnFormula>
    </tableColumn>
    <tableColumn id="4" xr3:uid="{B40EAA96-6F4E-47FE-ACCA-5755155F9AB0}" name="Расхождения" totalsRowFunction="custom" dataDxfId="73" totalsRowDxfId="72">
      <calculatedColumnFormula>(Table17[[#This Row],[Теоретические n]]-Table17[[#This Row],[Частоты выборки]])^2/Table17[[#This Row],[Теоретические n]]</calculatedColumnFormula>
      <totalsRowFormula>SUM(Table17[Расхождения])</totalsRow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325DBE3-563C-4A40-B33C-0B18EC4DED38}" name="Table18" displayName="Table18" ref="A221:C224" totalsRowShown="0">
  <autoFilter ref="A221:C224" xr:uid="{6325DBE3-563C-4A40-B33C-0B18EC4DED38}"/>
  <tableColumns count="3">
    <tableColumn id="1" xr3:uid="{28A4F279-592A-4366-A466-3B36E0577E19}" name="Значение"/>
    <tableColumn id="2" xr3:uid="{2B24E1B3-2AEF-4006-80B0-A0748D2C45F5}" name="Первая часть" dataDxfId="71">
      <calculatedColumnFormula>_xlfn.VAR.P(data1)</calculatedColumnFormula>
    </tableColumn>
    <tableColumn id="3" xr3:uid="{845740C8-BF7C-4AE7-9D23-547D0309F27B}" name="Вторая часть" dataDxfId="70">
      <calculatedColumnFormula>_xlfn.VAR.P(data2)</calculatedColumnFormula>
    </tableColumn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99C049-9A30-43ED-BBA7-53244728DC7F}" name="Table1" displayName="Table1" ref="A23:L35" totalsRowShown="0">
  <autoFilter ref="A23:L35" xr:uid="{8299C049-9A30-43ED-BBA7-53244728DC7F}"/>
  <tableColumns count="12">
    <tableColumn id="1" xr3:uid="{16353794-929C-4C76-A695-96836E72BFEE}" name="№"/>
    <tableColumn id="2" xr3:uid="{8179F879-F3E0-4F01-8F4A-E0D680468292}" name="Начало интервала" dataDxfId="69">
      <calculatedColumnFormula>B17-$B$20</calculatedColumnFormula>
    </tableColumn>
    <tableColumn id="8" xr3:uid="{1E70E00C-DA22-4556-A434-060ED28C7512}" name="Конец интервала" dataDxfId="68">
      <calculatedColumnFormula>Table1[[#This Row],[Начало интервала]]+$B$20</calculatedColumnFormula>
    </tableColumn>
    <tableColumn id="3" xr3:uid="{9875BBF7-C7EB-4D52-87AF-C3EDCB0F14D6}" name="Середины (x)" dataDxfId="67">
      <calculatedColumnFormula>(Table1[[#This Row],[Начало интервала]]+Table1[[#This Row],[Конец интервала]])/2</calculatedColumnFormula>
    </tableColumn>
    <tableColumn id="4" xr3:uid="{85D44036-1280-46BD-9D26-34BAB5DE9723}" name="Частоты (n)" dataDxfId="66">
      <calculatedColumnFormula>COUNTIFS(dataB, "&gt;="&amp;Table1[[#This Row],[Начало интервала]], dataB, "&lt;"&amp;Table1[[#This Row],[Конец интервала]])</calculatedColumnFormula>
    </tableColumn>
    <tableColumn id="5" xr3:uid="{5FEFDCCB-93D6-4501-8EB6-2E97235D5FF3}" name="Накопленные частоты" dataDxfId="65">
      <calculatedColumnFormula>SUM($E$24:Table1[[#This Row],[Частоты (n)]])</calculatedColumnFormula>
    </tableColumn>
    <tableColumn id="6" xr3:uid="{DD2765DF-4E5D-4A2F-9B24-539F6656527C}" name="Относительные (нормированные) частоты" dataDxfId="64">
      <calculatedColumnFormula>Table1[[#This Row],[Частоты (n)]]/($E$36*$B$20)</calculatedColumnFormula>
    </tableColumn>
    <tableColumn id="7" xr3:uid="{D1EA874F-125D-4546-A02C-3A59DDE5B5E0}" name="Накопленные относительные частоты" dataDxfId="63">
      <calculatedColumnFormula>Table1[[#This Row],[Накопленные частоты]]/$E$36</calculatedColumnFormula>
    </tableColumn>
    <tableColumn id="9" xr3:uid="{5224D6EF-4474-4706-928D-EDDB86F32013}" name="x*n" dataDxfId="62">
      <calculatedColumnFormula>Table1[[#This Row],[Середины (x)]]*Table1[[#This Row],[Частоты (n)]]</calculatedColumnFormula>
    </tableColumn>
    <tableColumn id="10" xr3:uid="{3E83DEB1-12F5-498A-8CA7-50325FE32871}" name="x^2*n" dataDxfId="61">
      <calculatedColumnFormula>Table1[[#This Row],[Середины (x)]]^2*Table1[[#This Row],[Частоты (n)]]</calculatedColumnFormula>
    </tableColumn>
    <tableColumn id="11" xr3:uid="{EC4ADBE2-B4FA-436C-9489-9C70D7AF6270}" name="x^3*n" dataDxfId="60">
      <calculatedColumnFormula>Table1[[#This Row],[Середины (x)]]^3*Table1[[#This Row],[Частоты (n)]]</calculatedColumnFormula>
    </tableColumn>
    <tableColumn id="12" xr3:uid="{1584C7C7-3F45-4EA4-938B-07473750179A}" name="x^4*n" dataDxfId="59">
      <calculatedColumnFormula>Table1[[#This Row],[Середины (x)]]^4*Table1[[#This Row],[Частоты (n)]]</calculatedColumnFormula>
    </tableColumn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4A4484-7677-4A99-91D4-CA628F634018}" name="Table3" displayName="Table3" ref="A88:B100" totalsRowShown="0">
  <autoFilter ref="A88:B100" xr:uid="{934A4484-7677-4A99-91D4-CA628F634018}"/>
  <tableColumns count="2">
    <tableColumn id="1" xr3:uid="{2B0B028A-B3FD-4620-90FF-6D1766CACBA4}" name="Значения x" dataDxfId="58"/>
    <tableColumn id="2" xr3:uid="{A19F0224-53AC-43FB-983F-95FE82E36AF0}" name="Частоты" dataDxfId="57">
      <calculatedColumnFormula>1/(SQRT(2*PI()*$B$75))*EXP(-((A89-$B$68)^2)/(2*$B$75))</calculatedColumnFormula>
    </tableColumn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522791F-E1A9-4606-85A2-6D80A12E7A33}" name="Table6" displayName="Table6" ref="D88:F94" totalsRowShown="0" headerRowDxfId="56" headerRowBorderDxfId="55" tableBorderDxfId="54">
  <autoFilter ref="D88:F94" xr:uid="{0522791F-E1A9-4606-85A2-6D80A12E7A33}"/>
  <tableColumns count="3">
    <tableColumn id="1" xr3:uid="{8E24C425-451D-4FA5-9991-6C62831644A0}" name="Коэффициенты" dataDxfId="53"/>
    <tableColumn id="2" xr3:uid="{7F17D468-A15C-41DE-B419-294CCC7FAA76}" name="Значения" dataDxfId="52"/>
    <tableColumn id="3" xr3:uid="{CA403A01-F77B-4F52-80BA-2DD78BE29193}" name="Погрешность (абсолютная)" dataDxfId="51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A3446C1-26DA-4D15-B456-2B498776CC54}" name="Table31214" displayName="Table31214" ref="A104:C116" totalsRowShown="0">
  <autoFilter ref="A104:C116" xr:uid="{5A3446C1-26DA-4D15-B456-2B498776CC54}"/>
  <tableColumns count="3">
    <tableColumn id="1" xr3:uid="{8B5F10A5-0DB0-4AC3-95E5-19D40A3A90C1}" name="Значения x" dataDxfId="50"/>
    <tableColumn id="2" xr3:uid="{66C49B98-617C-4B1C-BB74-BF25A6EEAFCB}" name="Частоты" dataDxfId="49">
      <calculatedColumnFormula>EXP(-(Table31214[[#This Row],[Значения x]]-$F$112)/$F$113)/($F$113*(1+EXP(-(Table31214[[#This Row],[Значения x]]-$F$112)/$F$113))^2)</calculatedColumnFormula>
    </tableColumn>
    <tableColumn id="3" xr3:uid="{88451546-EC99-4395-909D-4B00EC440BBF}" name="Частоты выборки" dataDxfId="48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4BB2F54-DED8-4CC8-A18A-D83EA33AE161}" name="Table61315" displayName="Table61315" ref="E104:G110" totalsRowShown="0" headerRowDxfId="47" headerRowBorderDxfId="46" tableBorderDxfId="45">
  <autoFilter ref="E104:G110" xr:uid="{54BB2F54-DED8-4CC8-A18A-D83EA33AE161}"/>
  <tableColumns count="3">
    <tableColumn id="1" xr3:uid="{4937D2F2-A215-4BB7-BEB5-9895389D003F}" name="Коэффициенты" dataDxfId="44"/>
    <tableColumn id="2" xr3:uid="{12FCEED7-F4EB-45D3-BF77-B5F30969B02A}" name="Значения" dataDxfId="43"/>
    <tableColumn id="3" xr3:uid="{236417A1-3C69-4748-9EB9-61DA3D8C6542}" name="Погрешность (абсолютная)" dataDxfId="42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8763B32-73A1-4E43-BC24-66A0A0197BF9}" name="Table310" displayName="Table310" ref="A149:C162" totalsRowCount="1" totalsRowCellStyle="Normal">
  <autoFilter ref="A149:C161" xr:uid="{28763B32-73A1-4E43-BC24-66A0A0197BF9}"/>
  <tableColumns count="3">
    <tableColumn id="1" xr3:uid="{F5A457DB-378D-4647-AF3E-EC81E55B47FC}" name="Значения x" dataDxfId="41"/>
    <tableColumn id="2" xr3:uid="{CBF45755-9F24-465C-9F19-FA57AC49AD17}" name="Частоты выборки" dataDxfId="40"/>
    <tableColumn id="3" xr3:uid="{4B62DCE3-8F82-496A-87BA-ABF5642375BF}" name="Теоретические n" dataDxfId="39">
      <calculatedColumnFormula>1/(SQRT(2*PI()*$B$75))*EXP(-((A150-$B$68)^2)/(2*$B$75))*$E$36*$B$20</calculatedColumnFormula>
    </tableColumn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6D5A7EB-88F3-4915-B06D-4DDA736F785B}" name="Table10" displayName="Table10" ref="A212:D224" totalsRowShown="0" headerRowDxfId="38" dataDxfId="36" headerRowBorderDxfId="37" tableBorderDxfId="35">
  <autoFilter ref="A212:D224" xr:uid="{A6D5A7EB-88F3-4915-B06D-4DDA736F785B}"/>
  <tableColumns count="4">
    <tableColumn id="1" xr3:uid="{461D020D-A409-4011-9438-D94F647C718B}" name="Значения x" dataDxfId="34"/>
    <tableColumn id="2" xr3:uid="{4A9E11D6-FE0E-4E97-B537-13476DA201FB}" name="Частоты выборки" dataDxfId="33"/>
    <tableColumn id="3" xr3:uid="{BD45B995-F85F-4AB0-AF48-4E06FF412B6E}" name="Теоретические n" dataDxfId="32">
      <calculatedColumnFormula>EXP(-(Table10[[#This Row],[Значения x]]-$F$112)/$F$113)/($F$113*(1+EXP(-(Table10[[#This Row],[Значения x]]-$F$112)/$F$113))^2)*$E$36*$B$20</calculatedColumnFormula>
    </tableColumn>
    <tableColumn id="4" xr3:uid="{36C848A8-A8C5-4509-AB01-EBDB84AF2C37}" name="Проверка гипотезы" dataDxfId="31">
      <calculatedColumnFormula>ABS(Table10[[#This Row],[Теоретические n]]-Table10[[#This Row],[Частоты выборки]])/SQRT($E$36)</calculatedColumnFormula>
    </tableColumn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C9DF0E2-3F10-49CF-B6A0-914AEC2DD4D5}" name="Table15" displayName="Table15" ref="A184:G197" totalsRowCount="1" headerRowDxfId="30">
  <autoFilter ref="A184:G196" xr:uid="{EC9DF0E2-3F10-49CF-B6A0-914AEC2DD4D5}"/>
  <tableColumns count="7">
    <tableColumn id="1" xr3:uid="{55EE0421-9B8D-4525-86E2-F65987166C42}" name="Начало интервала" dataDxfId="29" totalsRowDxfId="28"/>
    <tableColumn id="2" xr3:uid="{211D1270-D331-4DAF-B902-B40E49483E34}" name="Конец интервала" dataDxfId="27" totalsRowDxfId="26"/>
    <tableColumn id="8" xr3:uid="{93735D3C-F1A1-4FB8-9656-A7B4D898C85C}" name="Накопленные частоты" dataDxfId="25" totalsRowDxfId="24"/>
    <tableColumn id="4" xr3:uid="{084E0AC9-4D24-43E3-BD3C-8AB82A547145}" name="Распределение начало" dataDxfId="23" totalsRowDxfId="22">
      <calculatedColumnFormula>1/2*(1+ERF((A185-$B$68)/(SQRT(2*$E$72))))*$E$36</calculatedColumnFormula>
    </tableColumn>
    <tableColumn id="5" xr3:uid="{E467FCC5-4B35-445D-BA75-CF3FFDD32722}" name="Распределение конец" dataDxfId="21" totalsRowDxfId="20">
      <calculatedColumnFormula>1/2*(1+ERF((B185-$B$68)/(SQRT(2*$E$72))))*$E$36</calculatedColumnFormula>
    </tableColumn>
    <tableColumn id="6" xr3:uid="{99F62820-2E4D-4DF2-BBCD-AE674C1740F5}" name="Разность начало" dataDxfId="19" totalsRowDxfId="18">
      <calculatedColumnFormula>ABS(Table15[[#This Row],[Распределение начало]]-Table15[[#This Row],[Накопленные частоты]])</calculatedColumnFormula>
    </tableColumn>
    <tableColumn id="7" xr3:uid="{78E8F08F-2A5F-4610-A3C5-A8472D572B41}" name="Разность конец" totalsRowFunction="custom" dataDxfId="17" totalsRowDxfId="16">
      <calculatedColumnFormula>ABS(Table15[[#This Row],[Распределение конец]]-Table15[[#This Row],[Накопленные частоты]])</calculatedColumnFormula>
      <totalsRowFormula>MAX(Table15[[Разность начало]:[Разность конец]])/SQRT($E$36)</totalsRowFormula>
    </tableColumn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3C53EBB-576E-492B-A6C7-42872D1C99F8}" name="Table1517" displayName="Table1517" ref="A248:G261" totalsRowCount="1" headerRowDxfId="15">
  <autoFilter ref="A248:G260" xr:uid="{F3C53EBB-576E-492B-A6C7-42872D1C99F8}"/>
  <tableColumns count="7">
    <tableColumn id="1" xr3:uid="{8FB89B73-05AE-42B6-A2D4-6B731BBDDF1C}" name="Начало интервала" dataDxfId="14" totalsRowDxfId="13"/>
    <tableColumn id="2" xr3:uid="{1BE0C30F-A017-4F42-B01D-AE5DD00BB53C}" name="Конец интервала" dataDxfId="12" totalsRowDxfId="11"/>
    <tableColumn id="3" xr3:uid="{A5CAED2D-4652-40EC-AEC1-7BBAD411DFE6}" name="Накопленные частоты" dataDxfId="10"/>
    <tableColumn id="4" xr3:uid="{EEB7CCE5-10BD-43FC-AD36-4862620E6A38}" name="Распределение начало" dataDxfId="9" totalsRowDxfId="8">
      <calculatedColumnFormula>$E$36/(1+EXP(-(Table1517[[#This Row],[Начало интервала]]-$F$112)/$F$113))</calculatedColumnFormula>
    </tableColumn>
    <tableColumn id="5" xr3:uid="{4F5ADC9F-1B74-4D20-A275-D0728EC4DD7A}" name="Распределение конец" dataDxfId="7" totalsRowDxfId="6">
      <calculatedColumnFormula>$E$36/(1+EXP(-(Table1517[[#This Row],[Конец интервала]]-$F$112)/$F$113))</calculatedColumnFormula>
    </tableColumn>
    <tableColumn id="6" xr3:uid="{32439B4E-DE6F-460C-89E3-94C8C6137F7E}" name="Разность начало" dataDxfId="5" totalsRowDxfId="4">
      <calculatedColumnFormula>ABS(Table1517[[#This Row],[Распределение начало]]-Table1517[[#This Row],[Накопленные частоты]])</calculatedColumnFormula>
    </tableColumn>
    <tableColumn id="7" xr3:uid="{3A07B426-9D14-4FD7-BD5D-FEB9B0CC2255}" name="Разность конец" totalsRowFunction="custom" dataDxfId="3" totalsRowDxfId="2">
      <calculatedColumnFormula>ABS(Table1517[[#This Row],[Распределение конец]]-Table1517[[#This Row],[Накопленные частоты]])</calculatedColumnFormula>
      <totalsRowFormula>MAX(Table1517[[Разность начало]:[Разность конец]])/SQRT($E$36)</totalsRowFormula>
    </tableColumn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F0A25C5-8A26-4406-8D00-4E32AE1935A1}" name="Table1820" displayName="Table1820" ref="A282:C285" totalsRowShown="0">
  <autoFilter ref="A282:C285" xr:uid="{AF0A25C5-8A26-4406-8D00-4E32AE1935A1}"/>
  <tableColumns count="3">
    <tableColumn id="1" xr3:uid="{AAA1DD5D-51BE-4B45-8FB1-08C1E8846F70}" name="Значение"/>
    <tableColumn id="2" xr3:uid="{AA211F7A-AC7D-491E-A9E5-C67BDF94F3B0}" name="Первая часть" dataDxfId="1">
      <calculatedColumnFormula>_xlfn.VAR.P(data1)</calculatedColumnFormula>
    </tableColumn>
    <tableColumn id="3" xr3:uid="{94104656-5C4A-4464-98FE-6DC101255801}" name="Вторая часть" dataDxfId="0">
      <calculatedColumnFormula>_xlfn.VAR.P(data2)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5.xml"/><Relationship Id="rId3" Type="http://schemas.openxmlformats.org/officeDocument/2006/relationships/table" Target="../tables/table10.xml"/><Relationship Id="rId7" Type="http://schemas.openxmlformats.org/officeDocument/2006/relationships/table" Target="../tables/table14.xml"/><Relationship Id="rId2" Type="http://schemas.openxmlformats.org/officeDocument/2006/relationships/table" Target="../tables/table9.xml"/><Relationship Id="rId1" Type="http://schemas.openxmlformats.org/officeDocument/2006/relationships/drawing" Target="../drawings/drawing2.xml"/><Relationship Id="rId6" Type="http://schemas.openxmlformats.org/officeDocument/2006/relationships/table" Target="../tables/table13.xml"/><Relationship Id="rId11" Type="http://schemas.openxmlformats.org/officeDocument/2006/relationships/table" Target="../tables/table18.xml"/><Relationship Id="rId5" Type="http://schemas.openxmlformats.org/officeDocument/2006/relationships/table" Target="../tables/table12.xml"/><Relationship Id="rId10" Type="http://schemas.openxmlformats.org/officeDocument/2006/relationships/table" Target="../tables/table17.xml"/><Relationship Id="rId4" Type="http://schemas.openxmlformats.org/officeDocument/2006/relationships/table" Target="../tables/table11.xml"/><Relationship Id="rId9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1E21E-A884-4FB5-A450-CAED469E723B}">
  <dimension ref="A1:U228"/>
  <sheetViews>
    <sheetView topLeftCell="A100" zoomScaleNormal="100" workbookViewId="0">
      <selection activeCell="A103" sqref="A103"/>
    </sheetView>
  </sheetViews>
  <sheetFormatPr defaultRowHeight="15" x14ac:dyDescent="0.25"/>
  <cols>
    <col min="1" max="1" width="18.7109375" bestFit="1" customWidth="1"/>
    <col min="2" max="2" width="19.28515625" customWidth="1"/>
    <col min="3" max="3" width="18.5703125" customWidth="1"/>
    <col min="4" max="4" width="17" customWidth="1"/>
    <col min="5" max="5" width="20.7109375" customWidth="1"/>
    <col min="6" max="6" width="27.85546875" customWidth="1"/>
    <col min="7" max="7" width="21.5703125" customWidth="1"/>
    <col min="8" max="8" width="12" customWidth="1"/>
    <col min="9" max="9" width="16.140625" bestFit="1" customWidth="1"/>
    <col min="10" max="10" width="9.5703125" bestFit="1" customWidth="1"/>
    <col min="11" max="11" width="11.28515625" bestFit="1" customWidth="1"/>
    <col min="12" max="73" width="12" customWidth="1"/>
  </cols>
  <sheetData>
    <row r="1" spans="1:21" ht="18.75" x14ac:dyDescent="0.3">
      <c r="A1" s="2" t="s">
        <v>3</v>
      </c>
      <c r="B1" s="18">
        <v>5</v>
      </c>
      <c r="C1">
        <v>4</v>
      </c>
      <c r="D1">
        <v>4</v>
      </c>
      <c r="E1">
        <v>4</v>
      </c>
      <c r="F1">
        <v>5</v>
      </c>
      <c r="G1">
        <v>0</v>
      </c>
      <c r="H1">
        <v>3</v>
      </c>
      <c r="I1">
        <v>7</v>
      </c>
      <c r="J1">
        <v>2</v>
      </c>
      <c r="K1">
        <v>2</v>
      </c>
      <c r="L1">
        <v>3</v>
      </c>
      <c r="M1">
        <v>0</v>
      </c>
      <c r="N1">
        <v>5</v>
      </c>
      <c r="O1">
        <v>6</v>
      </c>
      <c r="P1">
        <v>3</v>
      </c>
      <c r="Q1">
        <v>4</v>
      </c>
      <c r="R1">
        <v>6</v>
      </c>
      <c r="S1">
        <v>1</v>
      </c>
      <c r="T1">
        <v>2</v>
      </c>
      <c r="U1">
        <v>5</v>
      </c>
    </row>
    <row r="2" spans="1:21" x14ac:dyDescent="0.25">
      <c r="B2" s="18">
        <v>3</v>
      </c>
      <c r="C2">
        <v>2</v>
      </c>
      <c r="D2">
        <v>3</v>
      </c>
      <c r="E2">
        <v>6</v>
      </c>
      <c r="F2">
        <v>6</v>
      </c>
      <c r="G2">
        <v>2</v>
      </c>
      <c r="H2">
        <v>3</v>
      </c>
      <c r="I2">
        <v>1</v>
      </c>
      <c r="J2">
        <v>7</v>
      </c>
      <c r="K2">
        <v>2</v>
      </c>
      <c r="L2">
        <v>3</v>
      </c>
      <c r="M2">
        <v>2</v>
      </c>
      <c r="N2">
        <v>2</v>
      </c>
      <c r="O2">
        <v>5</v>
      </c>
      <c r="P2">
        <v>2</v>
      </c>
      <c r="Q2">
        <v>0</v>
      </c>
      <c r="R2">
        <v>2</v>
      </c>
      <c r="S2">
        <v>2</v>
      </c>
      <c r="T2">
        <v>6</v>
      </c>
      <c r="U2">
        <v>1</v>
      </c>
    </row>
    <row r="3" spans="1:21" x14ac:dyDescent="0.25">
      <c r="B3" s="18">
        <v>3</v>
      </c>
      <c r="C3">
        <v>6</v>
      </c>
      <c r="D3">
        <v>7</v>
      </c>
      <c r="E3">
        <v>7</v>
      </c>
      <c r="F3">
        <v>2</v>
      </c>
      <c r="G3">
        <v>0</v>
      </c>
      <c r="H3">
        <v>4</v>
      </c>
      <c r="I3">
        <v>6</v>
      </c>
      <c r="J3">
        <v>1</v>
      </c>
      <c r="K3">
        <v>1</v>
      </c>
      <c r="L3">
        <v>6</v>
      </c>
      <c r="M3">
        <v>7</v>
      </c>
      <c r="N3">
        <v>1</v>
      </c>
      <c r="O3">
        <v>3</v>
      </c>
      <c r="P3">
        <v>4</v>
      </c>
      <c r="Q3">
        <v>6</v>
      </c>
      <c r="R3">
        <v>6</v>
      </c>
      <c r="S3">
        <v>3</v>
      </c>
      <c r="T3">
        <v>2</v>
      </c>
      <c r="U3">
        <v>1</v>
      </c>
    </row>
    <row r="4" spans="1:21" x14ac:dyDescent="0.25">
      <c r="B4" s="18">
        <v>7</v>
      </c>
      <c r="C4">
        <v>2</v>
      </c>
      <c r="D4">
        <v>5</v>
      </c>
      <c r="E4">
        <v>4</v>
      </c>
      <c r="F4">
        <v>2</v>
      </c>
      <c r="G4">
        <v>3</v>
      </c>
      <c r="H4">
        <v>4</v>
      </c>
      <c r="I4">
        <v>5</v>
      </c>
      <c r="J4">
        <v>6</v>
      </c>
      <c r="K4">
        <v>6</v>
      </c>
      <c r="L4">
        <v>5</v>
      </c>
      <c r="M4">
        <v>3</v>
      </c>
      <c r="N4">
        <v>2</v>
      </c>
    </row>
    <row r="6" spans="1:21" x14ac:dyDescent="0.25">
      <c r="A6" s="4" t="s">
        <v>1</v>
      </c>
      <c r="B6">
        <f>MAX(data)</f>
        <v>7</v>
      </c>
    </row>
    <row r="7" spans="1:21" x14ac:dyDescent="0.25">
      <c r="A7" s="4" t="s">
        <v>2</v>
      </c>
      <c r="B7">
        <f>MIN(data)</f>
        <v>0</v>
      </c>
    </row>
    <row r="8" spans="1:21" x14ac:dyDescent="0.25">
      <c r="A8" s="4" t="s">
        <v>0</v>
      </c>
      <c r="B8">
        <f>B6-B7</f>
        <v>7</v>
      </c>
    </row>
    <row r="10" spans="1:21" x14ac:dyDescent="0.25">
      <c r="M10" s="4"/>
    </row>
    <row r="11" spans="1:21" x14ac:dyDescent="0.25">
      <c r="A11" t="s">
        <v>6</v>
      </c>
      <c r="B11" t="s">
        <v>5</v>
      </c>
      <c r="C11" t="s">
        <v>4</v>
      </c>
      <c r="D11" t="s">
        <v>10</v>
      </c>
      <c r="E11" t="s">
        <v>7</v>
      </c>
      <c r="F11" t="s">
        <v>8</v>
      </c>
      <c r="G11" t="s">
        <v>37</v>
      </c>
      <c r="H11" t="s">
        <v>19</v>
      </c>
      <c r="I11" t="s">
        <v>20</v>
      </c>
      <c r="J11" t="s">
        <v>21</v>
      </c>
      <c r="K11" t="s">
        <v>22</v>
      </c>
    </row>
    <row r="12" spans="1:21" x14ac:dyDescent="0.25">
      <c r="A12">
        <v>1</v>
      </c>
      <c r="B12">
        <v>0</v>
      </c>
      <c r="C12">
        <f t="shared" ref="C12:C19" si="0">COUNTIF(data,B12)</f>
        <v>4</v>
      </c>
      <c r="D12" t="s">
        <v>11</v>
      </c>
      <c r="E12">
        <f>SUM($C$12:C12)</f>
        <v>4</v>
      </c>
      <c r="F12" s="1">
        <f t="shared" ref="F12:F19" si="1">C12/$C$20</f>
        <v>5.4794520547945202E-2</v>
      </c>
      <c r="G12" s="1">
        <f>SUM($F$12:F12)</f>
        <v>5.4794520547945202E-2</v>
      </c>
      <c r="H12">
        <f>Processing[[#This Row],[Частоты n]]*Processing[[#This Row],[Значения x]]</f>
        <v>0</v>
      </c>
      <c r="I12">
        <f>Processing[[#This Row],[Значения x]]^2*Processing[[#This Row],[Частоты n]]</f>
        <v>0</v>
      </c>
      <c r="J12">
        <f>Processing[[#This Row],[Значения x]]^3*Processing[[#This Row],[Частоты n]]</f>
        <v>0</v>
      </c>
      <c r="K12">
        <f>Processing[[#This Row],[Значения x]]^4*Processing[[#This Row],[Частоты n]]</f>
        <v>0</v>
      </c>
      <c r="Q12" s="1"/>
    </row>
    <row r="13" spans="1:21" x14ac:dyDescent="0.25">
      <c r="A13">
        <v>2</v>
      </c>
      <c r="B13">
        <v>1</v>
      </c>
      <c r="C13">
        <f t="shared" si="0"/>
        <v>7</v>
      </c>
      <c r="D13" t="s">
        <v>12</v>
      </c>
      <c r="E13">
        <f>SUM($C$12:C13)</f>
        <v>11</v>
      </c>
      <c r="F13" s="1">
        <f t="shared" si="1"/>
        <v>9.5890410958904104E-2</v>
      </c>
      <c r="G13" s="1">
        <f>SUM($F$12:F13)</f>
        <v>0.15068493150684931</v>
      </c>
      <c r="H13">
        <f>Processing[[#This Row],[Частоты n]]*Processing[[#This Row],[Значения x]]</f>
        <v>7</v>
      </c>
      <c r="I13">
        <f>Processing[[#This Row],[Значения x]]^2*Processing[[#This Row],[Частоты n]]</f>
        <v>7</v>
      </c>
      <c r="J13">
        <f>Processing[[#This Row],[Значения x]]^3*Processing[[#This Row],[Частоты n]]</f>
        <v>7</v>
      </c>
      <c r="K13">
        <f>Processing[[#This Row],[Значения x]]^4*Processing[[#This Row],[Частоты n]]</f>
        <v>7</v>
      </c>
      <c r="Q13" s="1"/>
    </row>
    <row r="14" spans="1:21" x14ac:dyDescent="0.25">
      <c r="A14">
        <v>3</v>
      </c>
      <c r="B14">
        <v>2</v>
      </c>
      <c r="C14">
        <f t="shared" si="0"/>
        <v>16</v>
      </c>
      <c r="D14" t="s">
        <v>13</v>
      </c>
      <c r="E14">
        <f>SUM($C$12:C14)</f>
        <v>27</v>
      </c>
      <c r="F14" s="1">
        <f t="shared" si="1"/>
        <v>0.21917808219178081</v>
      </c>
      <c r="G14" s="1">
        <f>SUM($F$12:F14)</f>
        <v>0.36986301369863012</v>
      </c>
      <c r="H14">
        <f>Processing[[#This Row],[Частоты n]]*Processing[[#This Row],[Значения x]]</f>
        <v>32</v>
      </c>
      <c r="I14">
        <f>Processing[[#This Row],[Значения x]]^2*Processing[[#This Row],[Частоты n]]</f>
        <v>64</v>
      </c>
      <c r="J14">
        <f>Processing[[#This Row],[Значения x]]^3*Processing[[#This Row],[Частоты n]]</f>
        <v>128</v>
      </c>
      <c r="K14">
        <f>Processing[[#This Row],[Значения x]]^4*Processing[[#This Row],[Частоты n]]</f>
        <v>256</v>
      </c>
      <c r="Q14" s="1"/>
    </row>
    <row r="15" spans="1:21" x14ac:dyDescent="0.25">
      <c r="A15">
        <v>4</v>
      </c>
      <c r="B15">
        <v>3</v>
      </c>
      <c r="C15">
        <f t="shared" si="0"/>
        <v>12</v>
      </c>
      <c r="D15" t="s">
        <v>14</v>
      </c>
      <c r="E15">
        <f>SUM($C$12:C15)</f>
        <v>39</v>
      </c>
      <c r="F15" s="1">
        <f t="shared" si="1"/>
        <v>0.16438356164383561</v>
      </c>
      <c r="G15" s="1">
        <f>SUM($F$12:F15)</f>
        <v>0.53424657534246567</v>
      </c>
      <c r="H15">
        <f>Processing[[#This Row],[Частоты n]]*Processing[[#This Row],[Значения x]]</f>
        <v>36</v>
      </c>
      <c r="I15">
        <f>Processing[[#This Row],[Значения x]]^2*Processing[[#This Row],[Частоты n]]</f>
        <v>108</v>
      </c>
      <c r="J15">
        <f>Processing[[#This Row],[Значения x]]^3*Processing[[#This Row],[Частоты n]]</f>
        <v>324</v>
      </c>
      <c r="K15">
        <f>Processing[[#This Row],[Значения x]]^4*Processing[[#This Row],[Частоты n]]</f>
        <v>972</v>
      </c>
      <c r="Q15" s="1"/>
    </row>
    <row r="16" spans="1:21" x14ac:dyDescent="0.25">
      <c r="A16">
        <v>5</v>
      </c>
      <c r="B16">
        <v>4</v>
      </c>
      <c r="C16">
        <f t="shared" si="0"/>
        <v>8</v>
      </c>
      <c r="D16" t="s">
        <v>15</v>
      </c>
      <c r="E16">
        <f>SUM($C$12:C16)</f>
        <v>47</v>
      </c>
      <c r="F16" s="1">
        <f t="shared" si="1"/>
        <v>0.1095890410958904</v>
      </c>
      <c r="G16" s="1">
        <f>SUM($F$12:F16)</f>
        <v>0.64383561643835607</v>
      </c>
      <c r="H16">
        <f>Processing[[#This Row],[Частоты n]]*Processing[[#This Row],[Значения x]]</f>
        <v>32</v>
      </c>
      <c r="I16">
        <f>Processing[[#This Row],[Значения x]]^2*Processing[[#This Row],[Частоты n]]</f>
        <v>128</v>
      </c>
      <c r="J16">
        <f>Processing[[#This Row],[Значения x]]^3*Processing[[#This Row],[Частоты n]]</f>
        <v>512</v>
      </c>
      <c r="K16">
        <f>Processing[[#This Row],[Значения x]]^4*Processing[[#This Row],[Частоты n]]</f>
        <v>2048</v>
      </c>
      <c r="Q16" s="1"/>
    </row>
    <row r="17" spans="1:17" x14ac:dyDescent="0.25">
      <c r="A17">
        <v>6</v>
      </c>
      <c r="B17">
        <v>5</v>
      </c>
      <c r="C17">
        <f t="shared" si="0"/>
        <v>8</v>
      </c>
      <c r="D17" t="s">
        <v>16</v>
      </c>
      <c r="E17">
        <f>SUM($C$12:C17)</f>
        <v>55</v>
      </c>
      <c r="F17" s="1">
        <f t="shared" si="1"/>
        <v>0.1095890410958904</v>
      </c>
      <c r="G17" s="1">
        <f>SUM($F$12:F17)</f>
        <v>0.75342465753424648</v>
      </c>
      <c r="H17">
        <f>Processing[[#This Row],[Частоты n]]*Processing[[#This Row],[Значения x]]</f>
        <v>40</v>
      </c>
      <c r="I17">
        <f>Processing[[#This Row],[Значения x]]^2*Processing[[#This Row],[Частоты n]]</f>
        <v>200</v>
      </c>
      <c r="J17">
        <f>Processing[[#This Row],[Значения x]]^3*Processing[[#This Row],[Частоты n]]</f>
        <v>1000</v>
      </c>
      <c r="K17">
        <f>Processing[[#This Row],[Значения x]]^4*Processing[[#This Row],[Частоты n]]</f>
        <v>5000</v>
      </c>
      <c r="Q17" s="1"/>
    </row>
    <row r="18" spans="1:17" x14ac:dyDescent="0.25">
      <c r="A18">
        <v>7</v>
      </c>
      <c r="B18">
        <v>6</v>
      </c>
      <c r="C18">
        <f t="shared" si="0"/>
        <v>12</v>
      </c>
      <c r="D18" t="s">
        <v>17</v>
      </c>
      <c r="E18">
        <f>SUM($C$12:C18)</f>
        <v>67</v>
      </c>
      <c r="F18" s="1">
        <f t="shared" si="1"/>
        <v>0.16438356164383561</v>
      </c>
      <c r="G18" s="1">
        <f>SUM($F$12:F18)</f>
        <v>0.91780821917808209</v>
      </c>
      <c r="H18">
        <f>Processing[[#This Row],[Частоты n]]*Processing[[#This Row],[Значения x]]</f>
        <v>72</v>
      </c>
      <c r="I18">
        <f>Processing[[#This Row],[Значения x]]^2*Processing[[#This Row],[Частоты n]]</f>
        <v>432</v>
      </c>
      <c r="J18">
        <f>Processing[[#This Row],[Значения x]]^3*Processing[[#This Row],[Частоты n]]</f>
        <v>2592</v>
      </c>
      <c r="K18">
        <f>Processing[[#This Row],[Значения x]]^4*Processing[[#This Row],[Частоты n]]</f>
        <v>15552</v>
      </c>
      <c r="Q18" s="1"/>
    </row>
    <row r="19" spans="1:17" x14ac:dyDescent="0.25">
      <c r="A19">
        <v>8</v>
      </c>
      <c r="B19">
        <v>7</v>
      </c>
      <c r="C19">
        <f t="shared" si="0"/>
        <v>6</v>
      </c>
      <c r="D19" t="s">
        <v>18</v>
      </c>
      <c r="E19">
        <f>SUM($C$12:C19)</f>
        <v>73</v>
      </c>
      <c r="F19" s="1">
        <f t="shared" si="1"/>
        <v>8.2191780821917804E-2</v>
      </c>
      <c r="G19" s="1">
        <f>SUM($F$12:F19)</f>
        <v>0.99999999999999989</v>
      </c>
      <c r="H19">
        <f>Processing[[#This Row],[Частоты n]]*Processing[[#This Row],[Значения x]]</f>
        <v>42</v>
      </c>
      <c r="I19">
        <f>Processing[[#This Row],[Значения x]]^2*Processing[[#This Row],[Частоты n]]</f>
        <v>294</v>
      </c>
      <c r="J19">
        <f>Processing[[#This Row],[Значения x]]^3*Processing[[#This Row],[Частоты n]]</f>
        <v>2058</v>
      </c>
      <c r="K19">
        <f>Processing[[#This Row],[Значения x]]^4*Processing[[#This Row],[Частоты n]]</f>
        <v>14406</v>
      </c>
    </row>
    <row r="20" spans="1:17" x14ac:dyDescent="0.25">
      <c r="A20" t="s">
        <v>9</v>
      </c>
      <c r="B20">
        <f>COUNT(Processing[№])</f>
        <v>8</v>
      </c>
      <c r="C20" s="3">
        <f>SUM(C12:C19)</f>
        <v>73</v>
      </c>
      <c r="F20" s="1">
        <f>SUM(Processing[Относительные частоты])</f>
        <v>0.99999999999999989</v>
      </c>
      <c r="H20">
        <f>SUM(Processing[x*n])</f>
        <v>261</v>
      </c>
      <c r="I20">
        <f>SUM(Processing[x^2*n])</f>
        <v>1233</v>
      </c>
      <c r="J20">
        <f>SUM(Processing[x^3*n])</f>
        <v>6621</v>
      </c>
      <c r="K20">
        <f>SUM(Processing[x^4*n])</f>
        <v>38241</v>
      </c>
    </row>
    <row r="39" spans="1:5" x14ac:dyDescent="0.25">
      <c r="A39" t="s">
        <v>51</v>
      </c>
      <c r="D39" t="s">
        <v>52</v>
      </c>
    </row>
    <row r="40" spans="1:5" x14ac:dyDescent="0.25">
      <c r="A40" s="4" t="s">
        <v>23</v>
      </c>
      <c r="B40" s="1">
        <f>H$20/$C$20</f>
        <v>3.5753424657534247</v>
      </c>
      <c r="D40" s="4" t="s">
        <v>28</v>
      </c>
      <c r="E40" s="1">
        <f>B40-B40</f>
        <v>0</v>
      </c>
    </row>
    <row r="41" spans="1:5" x14ac:dyDescent="0.25">
      <c r="A41" s="4" t="s">
        <v>24</v>
      </c>
      <c r="B41" s="1">
        <f>I$20/$C$20</f>
        <v>16.890410958904109</v>
      </c>
      <c r="D41" s="4" t="s">
        <v>27</v>
      </c>
      <c r="E41" s="1">
        <f>B41-B40^2</f>
        <v>4.1073372114843298</v>
      </c>
    </row>
    <row r="42" spans="1:5" x14ac:dyDescent="0.25">
      <c r="A42" s="4" t="s">
        <v>25</v>
      </c>
      <c r="B42" s="1">
        <f>J$20/$C$20</f>
        <v>90.698630136986296</v>
      </c>
      <c r="D42" s="4" t="s">
        <v>29</v>
      </c>
      <c r="E42" s="1">
        <f>B42-3*B40*B41+2*B40^3</f>
        <v>0.93935226481104905</v>
      </c>
    </row>
    <row r="43" spans="1:5" x14ac:dyDescent="0.25">
      <c r="A43" s="4" t="s">
        <v>26</v>
      </c>
      <c r="B43" s="1">
        <f>K$20/$C$20</f>
        <v>523.84931506849318</v>
      </c>
      <c r="D43" s="4" t="s">
        <v>30</v>
      </c>
      <c r="E43" s="1">
        <f>B43-4*B40*B42+6*B40^2*B41-3*B40^4</f>
        <v>31.981949586243786</v>
      </c>
    </row>
    <row r="44" spans="1:5" x14ac:dyDescent="0.25">
      <c r="A44" s="4"/>
      <c r="D44" s="4" t="s">
        <v>44</v>
      </c>
      <c r="E44" s="1">
        <f>E41</f>
        <v>4.1073372114843298</v>
      </c>
    </row>
    <row r="45" spans="1:5" x14ac:dyDescent="0.25">
      <c r="A45" s="4" t="s">
        <v>31</v>
      </c>
      <c r="B45">
        <v>2</v>
      </c>
      <c r="D45" s="4" t="s">
        <v>93</v>
      </c>
      <c r="E45" s="1">
        <f>E44*C20/(C20-1)</f>
        <v>4.1643835616438345</v>
      </c>
    </row>
    <row r="46" spans="1:5" x14ac:dyDescent="0.25">
      <c r="A46" s="4" t="s">
        <v>43</v>
      </c>
      <c r="B46">
        <f>INT(C20/2)+1</f>
        <v>37</v>
      </c>
    </row>
    <row r="47" spans="1:5" x14ac:dyDescent="0.25">
      <c r="A47" s="4" t="s">
        <v>32</v>
      </c>
      <c r="B47">
        <v>2</v>
      </c>
    </row>
    <row r="48" spans="1:5" x14ac:dyDescent="0.25">
      <c r="A48" s="4" t="s">
        <v>33</v>
      </c>
      <c r="B48" s="1">
        <f>E42/E44^3</f>
        <v>1.3556494662446244E-2</v>
      </c>
    </row>
    <row r="49" spans="1:6" x14ac:dyDescent="0.25">
      <c r="A49" s="4" t="s">
        <v>34</v>
      </c>
      <c r="B49" s="1">
        <f>E43/E44^4-3</f>
        <v>-2.8876266067366219</v>
      </c>
    </row>
    <row r="51" spans="1:6" x14ac:dyDescent="0.25">
      <c r="A51" s="4" t="s">
        <v>46</v>
      </c>
    </row>
    <row r="52" spans="1:6" x14ac:dyDescent="0.25">
      <c r="A52" t="s">
        <v>53</v>
      </c>
    </row>
    <row r="53" spans="1:6" x14ac:dyDescent="0.25">
      <c r="A53" t="s">
        <v>54</v>
      </c>
    </row>
    <row r="54" spans="1:6" x14ac:dyDescent="0.25">
      <c r="A54" t="s">
        <v>64</v>
      </c>
    </row>
    <row r="55" spans="1:6" x14ac:dyDescent="0.25">
      <c r="A55" t="s">
        <v>56</v>
      </c>
    </row>
    <row r="57" spans="1:6" x14ac:dyDescent="0.25">
      <c r="A57" t="s">
        <v>55</v>
      </c>
    </row>
    <row r="58" spans="1:6" x14ac:dyDescent="0.25">
      <c r="A58" t="s">
        <v>62</v>
      </c>
    </row>
    <row r="59" spans="1:6" x14ac:dyDescent="0.25">
      <c r="A59" t="s">
        <v>73</v>
      </c>
    </row>
    <row r="61" spans="1:6" x14ac:dyDescent="0.25">
      <c r="A61" t="s">
        <v>47</v>
      </c>
    </row>
    <row r="62" spans="1:6" ht="15.75" x14ac:dyDescent="0.25">
      <c r="A62" s="8" t="s">
        <v>77</v>
      </c>
    </row>
    <row r="63" spans="1:6" x14ac:dyDescent="0.25">
      <c r="A63" t="s">
        <v>5</v>
      </c>
      <c r="B63" t="s">
        <v>45</v>
      </c>
      <c r="D63" t="s">
        <v>57</v>
      </c>
      <c r="E63" t="s">
        <v>58</v>
      </c>
      <c r="F63" t="s">
        <v>59</v>
      </c>
    </row>
    <row r="64" spans="1:6" x14ac:dyDescent="0.25">
      <c r="A64">
        <v>0</v>
      </c>
      <c r="B64" s="9">
        <f t="shared" ref="B64:B71" si="2">1/$E$69</f>
        <v>0.125</v>
      </c>
      <c r="D64" s="4" t="s">
        <v>48</v>
      </c>
      <c r="E64">
        <v>0</v>
      </c>
      <c r="F64" s="1">
        <f>ABS(E64-B48)</f>
        <v>1.3556494662446244E-2</v>
      </c>
    </row>
    <row r="65" spans="1:7" x14ac:dyDescent="0.25">
      <c r="A65">
        <v>1</v>
      </c>
      <c r="B65" s="1">
        <f t="shared" si="2"/>
        <v>0.125</v>
      </c>
      <c r="D65" s="4" t="s">
        <v>49</v>
      </c>
      <c r="E65" s="1">
        <f>(xmax+xmin)/2</f>
        <v>3.5</v>
      </c>
      <c r="F65" s="5">
        <f>ABS(B47-E65)</f>
        <v>1.5</v>
      </c>
    </row>
    <row r="66" spans="1:7" x14ac:dyDescent="0.25">
      <c r="A66">
        <v>2</v>
      </c>
      <c r="B66" s="9">
        <f t="shared" si="2"/>
        <v>0.125</v>
      </c>
      <c r="D66" s="4" t="s">
        <v>68</v>
      </c>
      <c r="E66" s="1">
        <f>-(6*(E69^2+1))/(5*(E69^2-1))</f>
        <v>-1.2380952380952381</v>
      </c>
      <c r="F66" s="1">
        <f>ABS(E66-B49)</f>
        <v>1.6495313686413837</v>
      </c>
    </row>
    <row r="67" spans="1:7" x14ac:dyDescent="0.25">
      <c r="A67">
        <v>3</v>
      </c>
      <c r="B67" s="1">
        <f t="shared" si="2"/>
        <v>0.125</v>
      </c>
      <c r="D67" s="4" t="s">
        <v>72</v>
      </c>
      <c r="E67" s="1">
        <f>(E69^2-1)/12</f>
        <v>5.25</v>
      </c>
      <c r="F67" s="1">
        <f>ABS(E67-E44)</f>
        <v>1.1426627885156702</v>
      </c>
    </row>
    <row r="68" spans="1:7" x14ac:dyDescent="0.25">
      <c r="A68">
        <v>4</v>
      </c>
      <c r="B68" s="9">
        <f t="shared" si="2"/>
        <v>0.125</v>
      </c>
      <c r="D68" s="4"/>
      <c r="E68" s="1"/>
      <c r="F68" s="1"/>
    </row>
    <row r="69" spans="1:7" x14ac:dyDescent="0.25">
      <c r="A69">
        <v>5</v>
      </c>
      <c r="B69" s="1">
        <f t="shared" si="2"/>
        <v>0.125</v>
      </c>
      <c r="D69" t="s">
        <v>74</v>
      </c>
      <c r="E69">
        <f>xmax-xmin+1</f>
        <v>8</v>
      </c>
      <c r="F69" s="1"/>
    </row>
    <row r="70" spans="1:7" x14ac:dyDescent="0.25">
      <c r="A70">
        <v>6</v>
      </c>
      <c r="B70" s="9">
        <f t="shared" si="2"/>
        <v>0.125</v>
      </c>
      <c r="D70" s="4"/>
      <c r="E70" s="1"/>
      <c r="F70" s="1"/>
    </row>
    <row r="71" spans="1:7" x14ac:dyDescent="0.25">
      <c r="A71">
        <v>7</v>
      </c>
      <c r="B71" s="10">
        <f t="shared" si="2"/>
        <v>0.125</v>
      </c>
    </row>
    <row r="74" spans="1:7" ht="15.75" x14ac:dyDescent="0.25">
      <c r="A74" s="8" t="s">
        <v>78</v>
      </c>
    </row>
    <row r="75" spans="1:7" x14ac:dyDescent="0.25">
      <c r="A75" t="s">
        <v>5</v>
      </c>
      <c r="B75" t="s">
        <v>45</v>
      </c>
      <c r="C75" t="s">
        <v>80</v>
      </c>
      <c r="E75" t="s">
        <v>57</v>
      </c>
      <c r="F75" t="s">
        <v>58</v>
      </c>
      <c r="G75" t="s">
        <v>59</v>
      </c>
    </row>
    <row r="76" spans="1:7" x14ac:dyDescent="0.25">
      <c r="A76">
        <v>0</v>
      </c>
      <c r="B76" s="9">
        <f>EXP(-$F$81)*$F$81^Table28[[#This Row],[Значения x]]/FACT(Table28[[#This Row],[Значения x]])</f>
        <v>2.8005833093002686E-2</v>
      </c>
      <c r="C76" s="1">
        <v>5.4794520547945202E-2</v>
      </c>
      <c r="E76" s="4" t="s">
        <v>48</v>
      </c>
      <c r="F76" s="1">
        <f>F81^(-1/2)</f>
        <v>0.52886055495757889</v>
      </c>
      <c r="G76" s="1">
        <f>ABS(F76-B48)</f>
        <v>0.51530406029513265</v>
      </c>
    </row>
    <row r="77" spans="1:7" x14ac:dyDescent="0.25">
      <c r="A77">
        <v>1</v>
      </c>
      <c r="B77" s="1">
        <f>EXP(-$F$81)*$F$81^Table28[[#This Row],[Значения x]]/FACT(Table28[[#This Row],[Значения x]])</f>
        <v>0.10013044434621508</v>
      </c>
      <c r="C77" s="1">
        <v>9.5890410958904104E-2</v>
      </c>
      <c r="E77" s="4" t="s">
        <v>68</v>
      </c>
      <c r="F77" s="1">
        <f>1/F81</f>
        <v>0.27969348659003829</v>
      </c>
      <c r="G77" s="1">
        <f>ABS(F77-B49)</f>
        <v>3.1673200933266603</v>
      </c>
    </row>
    <row r="78" spans="1:7" x14ac:dyDescent="0.25">
      <c r="A78">
        <v>2</v>
      </c>
      <c r="B78" s="9">
        <f>EXP(-$F$81)*$F$81^Table28[[#This Row],[Значения x]]/FACT(Table28[[#This Row],[Значения x]])</f>
        <v>0.17900031489289137</v>
      </c>
      <c r="C78" s="1">
        <v>0.21917808219178081</v>
      </c>
      <c r="E78" s="4" t="s">
        <v>50</v>
      </c>
      <c r="F78" s="1">
        <f>F81</f>
        <v>3.5753424657534247</v>
      </c>
      <c r="G78" s="1">
        <f>ABS(Table49[[#This Row],[Значения]]-B40)</f>
        <v>0</v>
      </c>
    </row>
    <row r="79" spans="1:7" x14ac:dyDescent="0.25">
      <c r="A79">
        <v>3</v>
      </c>
      <c r="B79" s="1">
        <f>EXP(-$F$81)*$F$81^Table28[[#This Row],[Значения x]]/FACT(Table28[[#This Row],[Значения x]])</f>
        <v>0.21332914240659653</v>
      </c>
      <c r="C79" s="1">
        <v>0.16438356164383561</v>
      </c>
      <c r="E79" s="4" t="s">
        <v>72</v>
      </c>
      <c r="F79" s="1">
        <f>F81</f>
        <v>3.5753424657534247</v>
      </c>
      <c r="G79" s="1">
        <f>ABS(F79-E44)</f>
        <v>0.53199474573090511</v>
      </c>
    </row>
    <row r="80" spans="1:7" x14ac:dyDescent="0.25">
      <c r="A80">
        <v>4</v>
      </c>
      <c r="B80" s="9">
        <f>EXP(-$F$81)*$F$81^Table28[[#This Row],[Значения x]]/FACT(Table28[[#This Row],[Значения x]])</f>
        <v>0.19068118550726612</v>
      </c>
      <c r="C80" s="1">
        <v>0.1095890410958904</v>
      </c>
    </row>
    <row r="81" spans="1:6" x14ac:dyDescent="0.25">
      <c r="A81">
        <v>5</v>
      </c>
      <c r="B81" s="1">
        <f>EXP(-$F$81)*$F$81^Table28[[#This Row],[Значения x]]/FACT(Table28[[#This Row],[Значения x]])</f>
        <v>0.13635010799286701</v>
      </c>
      <c r="C81" s="1">
        <v>0.1095890410958904</v>
      </c>
      <c r="E81" t="s">
        <v>75</v>
      </c>
      <c r="F81" s="1">
        <f>B40</f>
        <v>3.5753424657534247</v>
      </c>
    </row>
    <row r="82" spans="1:6" x14ac:dyDescent="0.25">
      <c r="A82">
        <v>6</v>
      </c>
      <c r="B82" s="9">
        <f>EXP(-$F$81)*$F$81^Table28[[#This Row],[Значения x]]/FACT(Table28[[#This Row],[Значения x]])</f>
        <v>8.1249721886160475E-2</v>
      </c>
      <c r="C82" s="1">
        <v>0.16438356164383561</v>
      </c>
    </row>
    <row r="83" spans="1:6" x14ac:dyDescent="0.25">
      <c r="A83">
        <v>7</v>
      </c>
      <c r="B83" s="10">
        <f>EXP(-$F$81)*$F$81^Table28[[#This Row],[Значения x]]/FACT(Table28[[#This Row],[Значения x]])</f>
        <v>4.1499368712892143E-2</v>
      </c>
      <c r="C83" s="1">
        <v>8.2191780821917804E-2</v>
      </c>
    </row>
    <row r="103" spans="1:2" ht="18.75" x14ac:dyDescent="0.3">
      <c r="A103" s="2" t="s">
        <v>86</v>
      </c>
    </row>
    <row r="104" spans="1:2" ht="15.75" x14ac:dyDescent="0.25">
      <c r="A104" s="14" t="s">
        <v>84</v>
      </c>
    </row>
    <row r="105" spans="1:2" x14ac:dyDescent="0.25">
      <c r="A105" t="s">
        <v>90</v>
      </c>
    </row>
    <row r="106" spans="1:2" x14ac:dyDescent="0.25">
      <c r="A106" t="s">
        <v>88</v>
      </c>
      <c r="B106">
        <v>1.96</v>
      </c>
    </row>
    <row r="108" spans="1:2" x14ac:dyDescent="0.25">
      <c r="A108" t="s">
        <v>89</v>
      </c>
    </row>
    <row r="109" spans="1:2" x14ac:dyDescent="0.25">
      <c r="A109" t="s">
        <v>85</v>
      </c>
    </row>
    <row r="112" spans="1:2" x14ac:dyDescent="0.25">
      <c r="A112" t="s">
        <v>87</v>
      </c>
    </row>
    <row r="113" spans="1:4" x14ac:dyDescent="0.25">
      <c r="A113" s="1">
        <f>2*$B$40-2*$B$106*SQRT(((2*$B$40-1)^2-1)/(12*$C$20))+1</f>
        <v>7.3468991346968942</v>
      </c>
      <c r="B113" s="1">
        <f>2*$B$40+2*$B$106*SQRT(((2*$B$40-1)^2-1)/(12*$C$20))+1</f>
        <v>8.9544707283168048</v>
      </c>
    </row>
    <row r="115" spans="1:4" x14ac:dyDescent="0.25">
      <c r="A115" t="s">
        <v>100</v>
      </c>
    </row>
    <row r="116" spans="1:4" x14ac:dyDescent="0.25">
      <c r="A116" s="13" t="s">
        <v>5</v>
      </c>
      <c r="B116" s="13" t="s">
        <v>80</v>
      </c>
      <c r="C116" t="s">
        <v>101</v>
      </c>
      <c r="D116" t="s">
        <v>95</v>
      </c>
    </row>
    <row r="117" spans="1:4" x14ac:dyDescent="0.25">
      <c r="A117" s="11">
        <v>0</v>
      </c>
      <c r="B117" s="11">
        <f t="shared" ref="B117:B124" si="3">COUNTIF(data,A117)</f>
        <v>4</v>
      </c>
      <c r="C117">
        <f t="shared" ref="C117:C124" si="4">1/$E$69*$C$20</f>
        <v>9.125</v>
      </c>
      <c r="D117" s="1">
        <f>(Table11[[#This Row],[Теоретические n]]-Table11[[#This Row],[Частоты выборки]])^2/Table11[[#This Row],[Теоретические n]]</f>
        <v>2.8784246575342465</v>
      </c>
    </row>
    <row r="118" spans="1:4" x14ac:dyDescent="0.25">
      <c r="A118">
        <v>1</v>
      </c>
      <c r="B118">
        <f t="shared" si="3"/>
        <v>7</v>
      </c>
      <c r="C118">
        <f t="shared" si="4"/>
        <v>9.125</v>
      </c>
      <c r="D118" s="1">
        <f>(Table11[[#This Row],[Теоретические n]]-Table11[[#This Row],[Частоты выборки]])^2/Table11[[#This Row],[Теоретические n]]</f>
        <v>0.49486301369863012</v>
      </c>
    </row>
    <row r="119" spans="1:4" x14ac:dyDescent="0.25">
      <c r="A119" s="11">
        <v>2</v>
      </c>
      <c r="B119" s="11">
        <f t="shared" si="3"/>
        <v>16</v>
      </c>
      <c r="C119">
        <f t="shared" si="4"/>
        <v>9.125</v>
      </c>
      <c r="D119" s="1">
        <f>(Table11[[#This Row],[Теоретические n]]-Table11[[#This Row],[Частоты выборки]])^2/Table11[[#This Row],[Теоретические n]]</f>
        <v>5.1797945205479454</v>
      </c>
    </row>
    <row r="120" spans="1:4" x14ac:dyDescent="0.25">
      <c r="A120">
        <v>3</v>
      </c>
      <c r="B120">
        <f t="shared" si="3"/>
        <v>12</v>
      </c>
      <c r="C120">
        <f t="shared" si="4"/>
        <v>9.125</v>
      </c>
      <c r="D120" s="1">
        <f>(Table11[[#This Row],[Теоретические n]]-Table11[[#This Row],[Частоты выборки]])^2/Table11[[#This Row],[Теоретические n]]</f>
        <v>0.90582191780821919</v>
      </c>
    </row>
    <row r="121" spans="1:4" x14ac:dyDescent="0.25">
      <c r="A121" s="11">
        <v>4</v>
      </c>
      <c r="B121" s="11">
        <f t="shared" si="3"/>
        <v>8</v>
      </c>
      <c r="C121">
        <f t="shared" si="4"/>
        <v>9.125</v>
      </c>
      <c r="D121" s="1">
        <f>(Table11[[#This Row],[Теоретические n]]-Table11[[#This Row],[Частоты выборки]])^2/Table11[[#This Row],[Теоретические n]]</f>
        <v>0.1386986301369863</v>
      </c>
    </row>
    <row r="122" spans="1:4" x14ac:dyDescent="0.25">
      <c r="A122">
        <v>5</v>
      </c>
      <c r="B122">
        <f t="shared" si="3"/>
        <v>8</v>
      </c>
      <c r="C122">
        <f t="shared" si="4"/>
        <v>9.125</v>
      </c>
      <c r="D122" s="1">
        <f>(Table11[[#This Row],[Теоретические n]]-Table11[[#This Row],[Частоты выборки]])^2/Table11[[#This Row],[Теоретические n]]</f>
        <v>0.1386986301369863</v>
      </c>
    </row>
    <row r="123" spans="1:4" x14ac:dyDescent="0.25">
      <c r="A123" s="11">
        <v>6</v>
      </c>
      <c r="B123" s="11">
        <f t="shared" si="3"/>
        <v>12</v>
      </c>
      <c r="C123">
        <f t="shared" si="4"/>
        <v>9.125</v>
      </c>
      <c r="D123" s="1">
        <f>(Table11[[#This Row],[Теоретические n]]-Table11[[#This Row],[Частоты выборки]])^2/Table11[[#This Row],[Теоретические n]]</f>
        <v>0.90582191780821919</v>
      </c>
    </row>
    <row r="124" spans="1:4" x14ac:dyDescent="0.25">
      <c r="A124" s="12">
        <v>7</v>
      </c>
      <c r="B124" s="12">
        <f t="shared" si="3"/>
        <v>6</v>
      </c>
      <c r="C124">
        <f t="shared" si="4"/>
        <v>9.125</v>
      </c>
      <c r="D124" s="1">
        <f>(Table11[[#This Row],[Теоретические n]]-Table11[[#This Row],[Частоты выборки]])^2/Table11[[#This Row],[Теоретические n]]</f>
        <v>1.0702054794520548</v>
      </c>
    </row>
    <row r="125" spans="1:4" x14ac:dyDescent="0.25">
      <c r="D125" s="1">
        <f>SUM(Table11[Расхождения])</f>
        <v>11.712328767123287</v>
      </c>
    </row>
    <row r="126" spans="1:4" ht="15.75" x14ac:dyDescent="0.25">
      <c r="A126" s="14"/>
    </row>
    <row r="146" spans="1:2" x14ac:dyDescent="0.25">
      <c r="A146" t="s">
        <v>129</v>
      </c>
    </row>
    <row r="147" spans="1:2" x14ac:dyDescent="0.25">
      <c r="A147" t="s">
        <v>96</v>
      </c>
      <c r="B147">
        <v>0.05</v>
      </c>
    </row>
    <row r="148" spans="1:2" x14ac:dyDescent="0.25">
      <c r="A148" t="s">
        <v>98</v>
      </c>
      <c r="B148">
        <f>B20</f>
        <v>8</v>
      </c>
    </row>
    <row r="149" spans="1:2" x14ac:dyDescent="0.25">
      <c r="A149" t="s">
        <v>76</v>
      </c>
      <c r="B149">
        <v>2</v>
      </c>
    </row>
    <row r="150" spans="1:2" x14ac:dyDescent="0.25">
      <c r="A150" t="s">
        <v>97</v>
      </c>
      <c r="B150">
        <f>B148-B149-1</f>
        <v>5</v>
      </c>
    </row>
    <row r="151" spans="1:2" x14ac:dyDescent="0.25">
      <c r="A151" t="s">
        <v>99</v>
      </c>
      <c r="B151">
        <v>11.1</v>
      </c>
    </row>
    <row r="153" spans="1:2" x14ac:dyDescent="0.25">
      <c r="A153" t="s">
        <v>103</v>
      </c>
    </row>
    <row r="155" spans="1:2" ht="15.75" x14ac:dyDescent="0.25">
      <c r="A155" s="14" t="s">
        <v>91</v>
      </c>
    </row>
    <row r="156" spans="1:2" x14ac:dyDescent="0.25">
      <c r="A156" t="s">
        <v>90</v>
      </c>
    </row>
    <row r="157" spans="1:2" x14ac:dyDescent="0.25">
      <c r="A157" s="15" t="s">
        <v>92</v>
      </c>
    </row>
    <row r="158" spans="1:2" x14ac:dyDescent="0.25">
      <c r="A158" s="1">
        <f>$B$40-$B$106*SQRT($B$40/$C$20)</f>
        <v>3.1415785059458785</v>
      </c>
      <c r="B158" s="1">
        <f>$B$40+$B$106*SQRT($B$40/$C$20)</f>
        <v>4.0091064255609714</v>
      </c>
    </row>
    <row r="159" spans="1:2" x14ac:dyDescent="0.25">
      <c r="A159" s="4" t="s">
        <v>94</v>
      </c>
    </row>
    <row r="160" spans="1:2" x14ac:dyDescent="0.25">
      <c r="A160" s="1">
        <f>EXP(LN($B$40-$B$106/SQRT($C$20)))</f>
        <v>3.3459418172490087</v>
      </c>
      <c r="B160" s="1">
        <f>EXP(LN($B$40+$B$106/SQRT($C$20)))</f>
        <v>3.8047431142578407</v>
      </c>
    </row>
    <row r="162" spans="1:4" x14ac:dyDescent="0.25">
      <c r="A162" t="s">
        <v>100</v>
      </c>
    </row>
    <row r="163" spans="1:4" x14ac:dyDescent="0.25">
      <c r="A163" s="13" t="s">
        <v>5</v>
      </c>
      <c r="B163" s="13" t="s">
        <v>80</v>
      </c>
      <c r="C163" t="s">
        <v>101</v>
      </c>
      <c r="D163" t="s">
        <v>95</v>
      </c>
    </row>
    <row r="164" spans="1:4" x14ac:dyDescent="0.25">
      <c r="A164" s="11">
        <v>0</v>
      </c>
      <c r="B164" s="11">
        <f t="shared" ref="B164:B171" si="5">COUNTIF(data,A164)</f>
        <v>4</v>
      </c>
      <c r="C164" s="1">
        <f t="shared" ref="C164:C171" si="6">POISSON(A164,$F$81, FALSE)*$C$20</f>
        <v>2.0444258157891961</v>
      </c>
      <c r="D164" s="1">
        <f>(Table17[[#This Row],[Теоретические n]]-Table17[[#This Row],[Частоты выборки]])^2/Table17[[#This Row],[Теоретические n]]</f>
        <v>1.8705840830304197</v>
      </c>
    </row>
    <row r="165" spans="1:4" x14ac:dyDescent="0.25">
      <c r="A165">
        <v>1</v>
      </c>
      <c r="B165">
        <f t="shared" si="5"/>
        <v>7</v>
      </c>
      <c r="C165" s="1">
        <f t="shared" si="6"/>
        <v>7.3095224372737011</v>
      </c>
      <c r="D165" s="1">
        <f>(Table17[[#This Row],[Теоретические n]]-Table17[[#This Row],[Частоты выборки]])^2/Table17[[#This Row],[Теоретические n]]</f>
        <v>1.3106757657287549E-2</v>
      </c>
    </row>
    <row r="166" spans="1:4" x14ac:dyDescent="0.25">
      <c r="A166" s="11">
        <v>2</v>
      </c>
      <c r="B166" s="11">
        <f t="shared" si="5"/>
        <v>16</v>
      </c>
      <c r="C166" s="1">
        <f t="shared" si="6"/>
        <v>13.067022987181073</v>
      </c>
      <c r="D166" s="1">
        <f>(Table17[[#This Row],[Теоретические n]]-Table17[[#This Row],[Частоты выборки]])^2/Table17[[#This Row],[Теоретические n]]</f>
        <v>0.65832547827942645</v>
      </c>
    </row>
    <row r="167" spans="1:4" x14ac:dyDescent="0.25">
      <c r="A167">
        <v>3</v>
      </c>
      <c r="B167">
        <f t="shared" si="5"/>
        <v>12</v>
      </c>
      <c r="C167" s="1">
        <f t="shared" si="6"/>
        <v>15.573027395681551</v>
      </c>
      <c r="D167" s="1">
        <f>(Table17[[#This Row],[Теоретические n]]-Table17[[#This Row],[Частоты выборки]])^2/Table17[[#This Row],[Теоретические n]]</f>
        <v>0.81978439040254214</v>
      </c>
    </row>
    <row r="168" spans="1:4" x14ac:dyDescent="0.25">
      <c r="A168" s="11">
        <v>4</v>
      </c>
      <c r="B168" s="11">
        <f t="shared" si="5"/>
        <v>8</v>
      </c>
      <c r="C168" s="1">
        <f t="shared" si="6"/>
        <v>13.919726542030428</v>
      </c>
      <c r="D168" s="1">
        <f>(Table17[[#This Row],[Теоретические n]]-Table17[[#This Row],[Частоты выборки]])^2/Table17[[#This Row],[Теоретические n]]</f>
        <v>2.5175180149270298</v>
      </c>
    </row>
    <row r="169" spans="1:4" x14ac:dyDescent="0.25">
      <c r="A169">
        <v>5</v>
      </c>
      <c r="B169">
        <f t="shared" si="5"/>
        <v>8</v>
      </c>
      <c r="C169" s="1">
        <f t="shared" si="6"/>
        <v>9.9535578834792879</v>
      </c>
      <c r="D169" s="1">
        <f>(Table17[[#This Row],[Теоретические n]]-Table17[[#This Row],[Частоты выборки]])^2/Table17[[#This Row],[Теоретические n]]</f>
        <v>0.38341952182128147</v>
      </c>
    </row>
    <row r="170" spans="1:4" x14ac:dyDescent="0.25">
      <c r="A170" s="11">
        <v>6</v>
      </c>
      <c r="B170" s="11">
        <f t="shared" si="5"/>
        <v>12</v>
      </c>
      <c r="C170" s="1">
        <f t="shared" si="6"/>
        <v>5.9312296976897168</v>
      </c>
      <c r="D170" s="1">
        <f>(Table17[[#This Row],[Теоретические n]]-Table17[[#This Row],[Частоты выборки]])^2/Table17[[#This Row],[Теоретические n]]</f>
        <v>6.2095003666017101</v>
      </c>
    </row>
    <row r="171" spans="1:4" x14ac:dyDescent="0.25">
      <c r="A171" s="12">
        <v>7</v>
      </c>
      <c r="B171" s="12">
        <f t="shared" si="5"/>
        <v>6</v>
      </c>
      <c r="C171" s="1">
        <f t="shared" si="6"/>
        <v>3.0294539160411276</v>
      </c>
      <c r="D171" s="1">
        <f>(Table17[[#This Row],[Теоретические n]]-Table17[[#This Row],[Частоты выборки]])^2/Table17[[#This Row],[Теоретические n]]</f>
        <v>2.9127837166292769</v>
      </c>
    </row>
    <row r="172" spans="1:4" x14ac:dyDescent="0.25">
      <c r="C172" s="1"/>
      <c r="D172" s="1">
        <f>SUM(Table17[Расхождения])</f>
        <v>15.385022329348974</v>
      </c>
    </row>
    <row r="193" spans="1:2" x14ac:dyDescent="0.25">
      <c r="A193" t="s">
        <v>129</v>
      </c>
    </row>
    <row r="194" spans="1:2" x14ac:dyDescent="0.25">
      <c r="A194" t="s">
        <v>96</v>
      </c>
      <c r="B194">
        <v>0.05</v>
      </c>
    </row>
    <row r="195" spans="1:2" x14ac:dyDescent="0.25">
      <c r="A195" t="s">
        <v>98</v>
      </c>
      <c r="B195">
        <f>B148</f>
        <v>8</v>
      </c>
    </row>
    <row r="196" spans="1:2" x14ac:dyDescent="0.25">
      <c r="A196" t="s">
        <v>76</v>
      </c>
      <c r="B196">
        <v>1</v>
      </c>
    </row>
    <row r="197" spans="1:2" x14ac:dyDescent="0.25">
      <c r="A197" t="s">
        <v>97</v>
      </c>
      <c r="B197">
        <f>B195-B196-1</f>
        <v>6</v>
      </c>
    </row>
    <row r="198" spans="1:2" x14ac:dyDescent="0.25">
      <c r="A198" t="s">
        <v>99</v>
      </c>
      <c r="B198">
        <v>12.6</v>
      </c>
    </row>
    <row r="200" spans="1:2" x14ac:dyDescent="0.25">
      <c r="A200" t="s">
        <v>102</v>
      </c>
    </row>
    <row r="202" spans="1:2" x14ac:dyDescent="0.25">
      <c r="A202" t="s">
        <v>121</v>
      </c>
    </row>
    <row r="204" spans="1:2" x14ac:dyDescent="0.25">
      <c r="A204" t="s">
        <v>104</v>
      </c>
    </row>
    <row r="205" spans="1:2" x14ac:dyDescent="0.25">
      <c r="A205" t="s">
        <v>96</v>
      </c>
      <c r="B205">
        <f>0.05</f>
        <v>0.05</v>
      </c>
    </row>
    <row r="207" spans="1:2" x14ac:dyDescent="0.25">
      <c r="A207" s="15" t="s">
        <v>107</v>
      </c>
    </row>
    <row r="208" spans="1:2" x14ac:dyDescent="0.25">
      <c r="A208" t="s">
        <v>106</v>
      </c>
      <c r="B208" s="1">
        <f>SQRT($E$45/$C$20)</f>
        <v>0.23884377772825605</v>
      </c>
    </row>
    <row r="209" spans="1:5" x14ac:dyDescent="0.25">
      <c r="A209" t="s">
        <v>105</v>
      </c>
      <c r="B209" s="1">
        <f>INT($B$40)+1</f>
        <v>4</v>
      </c>
    </row>
    <row r="210" spans="1:5" x14ac:dyDescent="0.25">
      <c r="A210" t="s">
        <v>111</v>
      </c>
      <c r="B210" s="1">
        <f>(B40-B209)/B208</f>
        <v>-1.7779719374968537</v>
      </c>
    </row>
    <row r="211" spans="1:5" x14ac:dyDescent="0.25">
      <c r="A211" t="s">
        <v>112</v>
      </c>
      <c r="B211">
        <f>2</f>
        <v>2</v>
      </c>
    </row>
    <row r="212" spans="1:5" x14ac:dyDescent="0.25">
      <c r="A212" t="s">
        <v>122</v>
      </c>
    </row>
    <row r="214" spans="1:5" x14ac:dyDescent="0.25">
      <c r="A214" s="15" t="s">
        <v>44</v>
      </c>
    </row>
    <row r="215" spans="1:5" x14ac:dyDescent="0.25">
      <c r="A215" t="s">
        <v>108</v>
      </c>
      <c r="B215" s="1">
        <f>INT(E44)</f>
        <v>4</v>
      </c>
    </row>
    <row r="216" spans="1:5" x14ac:dyDescent="0.25">
      <c r="A216" t="s">
        <v>109</v>
      </c>
      <c r="B216" s="1">
        <f>(C20-1)*E44/B215</f>
        <v>73.932069806717934</v>
      </c>
      <c r="C216" s="1"/>
    </row>
    <row r="217" spans="1:5" x14ac:dyDescent="0.25">
      <c r="A217" t="s">
        <v>110</v>
      </c>
      <c r="B217" s="1">
        <f>_xlfn.CHISQ.INV.RT(1-$B$205/2, $C$20-1)</f>
        <v>50.427914834630464</v>
      </c>
      <c r="C217" s="1">
        <f>_xlfn.CHISQ.INV.RT($B$205/2, $C$20-1)</f>
        <v>97.353054738166136</v>
      </c>
    </row>
    <row r="218" spans="1:5" x14ac:dyDescent="0.25">
      <c r="A218" t="s">
        <v>113</v>
      </c>
    </row>
    <row r="220" spans="1:5" x14ac:dyDescent="0.25">
      <c r="A220" t="s">
        <v>116</v>
      </c>
    </row>
    <row r="221" spans="1:5" x14ac:dyDescent="0.25">
      <c r="A221" t="s">
        <v>117</v>
      </c>
      <c r="B221" t="s">
        <v>114</v>
      </c>
      <c r="C221" t="s">
        <v>115</v>
      </c>
    </row>
    <row r="222" spans="1:5" x14ac:dyDescent="0.25">
      <c r="A222" t="s">
        <v>107</v>
      </c>
      <c r="B222" s="1">
        <f>SUM(data1)/COUNT(data1)</f>
        <v>3.3333333333333335</v>
      </c>
      <c r="C222" s="1">
        <f>SUM(data2)/COUNT(data2)</f>
        <v>3.810810810810811</v>
      </c>
      <c r="E222" t="s">
        <v>136</v>
      </c>
    </row>
    <row r="223" spans="1:5" x14ac:dyDescent="0.25">
      <c r="A223" t="s">
        <v>93</v>
      </c>
      <c r="B223" s="1">
        <f>_xlfn.VAR.S(data1)</f>
        <v>3.7714285714285714</v>
      </c>
      <c r="C223" s="1">
        <f>_xlfn.VAR.S(data2)</f>
        <v>4.5465465465465451</v>
      </c>
      <c r="D223" s="1">
        <f>Table18[[#This Row],[Вторая часть]]/Table18[[#This Row],[Первая часть]]</f>
        <v>1.2055237055237051</v>
      </c>
      <c r="E223" s="1">
        <f>_xlfn.F.INV.RT(B205/2,C224-1,B224-1)</f>
        <v>1.9547150345645743</v>
      </c>
    </row>
    <row r="224" spans="1:5" x14ac:dyDescent="0.25">
      <c r="A224" t="s">
        <v>74</v>
      </c>
      <c r="B224" s="1">
        <f>COUNT(data1)</f>
        <v>36</v>
      </c>
      <c r="C224" s="1">
        <f>COUNT(data2)</f>
        <v>37</v>
      </c>
      <c r="E224" t="s">
        <v>137</v>
      </c>
    </row>
    <row r="225" spans="1:2" x14ac:dyDescent="0.25">
      <c r="A225" t="s">
        <v>119</v>
      </c>
      <c r="B225" s="1">
        <f>((B224-1)*B223+(C224-1)*C223)/(B224+C224-2)</f>
        <v>4.164446136277121</v>
      </c>
    </row>
    <row r="226" spans="1:2" x14ac:dyDescent="0.25">
      <c r="A226" t="s">
        <v>118</v>
      </c>
      <c r="B226" s="1">
        <f>(C222-B222)/(B225*SQRT(1/B224+1/C224))</f>
        <v>0.48976339635552324</v>
      </c>
    </row>
    <row r="227" spans="1:2" x14ac:dyDescent="0.25">
      <c r="A227" t="s">
        <v>112</v>
      </c>
      <c r="B227">
        <v>2</v>
      </c>
    </row>
    <row r="228" spans="1:2" x14ac:dyDescent="0.25">
      <c r="A228" t="s">
        <v>120</v>
      </c>
    </row>
  </sheetData>
  <phoneticPr fontId="3" type="noConversion"/>
  <pageMargins left="0.7" right="0.7" top="0.75" bottom="0.75" header="0.3" footer="0.3"/>
  <pageSetup orientation="portrait" r:id="rId1"/>
  <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72D22-E159-4A9E-B653-D37E9F797714}">
  <dimension ref="A1:P289"/>
  <sheetViews>
    <sheetView tabSelected="1" topLeftCell="A130" zoomScaleNormal="100" workbookViewId="0">
      <selection activeCell="A136" sqref="A136"/>
    </sheetView>
  </sheetViews>
  <sheetFormatPr defaultRowHeight="15" x14ac:dyDescent="0.25"/>
  <cols>
    <col min="1" max="1" width="23.85546875" customWidth="1"/>
    <col min="2" max="2" width="20.140625" bestFit="1" customWidth="1"/>
    <col min="3" max="3" width="38.42578125" customWidth="1"/>
    <col min="4" max="4" width="21" customWidth="1"/>
    <col min="5" max="5" width="12.140625" customWidth="1"/>
    <col min="6" max="6" width="27.85546875" customWidth="1"/>
    <col min="7" max="7" width="26" bestFit="1" customWidth="1"/>
    <col min="8" max="8" width="39.42578125" bestFit="1" customWidth="1"/>
    <col min="9" max="9" width="23.7109375" customWidth="1"/>
    <col min="10" max="10" width="10.5703125" bestFit="1" customWidth="1"/>
    <col min="11" max="11" width="12.5703125" bestFit="1" customWidth="1"/>
    <col min="12" max="12" width="14.7109375" bestFit="1" customWidth="1"/>
  </cols>
  <sheetData>
    <row r="1" spans="1:16" ht="18.75" x14ac:dyDescent="0.3">
      <c r="A1" s="2" t="s">
        <v>35</v>
      </c>
      <c r="B1" s="18">
        <v>79</v>
      </c>
      <c r="C1">
        <v>56</v>
      </c>
      <c r="D1">
        <v>46</v>
      </c>
      <c r="E1">
        <v>50</v>
      </c>
      <c r="F1">
        <v>67</v>
      </c>
      <c r="G1">
        <v>37</v>
      </c>
      <c r="H1">
        <v>53</v>
      </c>
      <c r="I1">
        <v>49</v>
      </c>
      <c r="J1">
        <v>42</v>
      </c>
      <c r="K1">
        <v>57</v>
      </c>
      <c r="L1">
        <v>49</v>
      </c>
      <c r="M1">
        <v>20</v>
      </c>
      <c r="N1">
        <v>45</v>
      </c>
      <c r="O1">
        <v>83</v>
      </c>
      <c r="P1">
        <v>15</v>
      </c>
    </row>
    <row r="2" spans="1:16" x14ac:dyDescent="0.25">
      <c r="B2" s="18">
        <v>54</v>
      </c>
      <c r="C2">
        <v>43</v>
      </c>
      <c r="D2">
        <v>82</v>
      </c>
      <c r="E2">
        <v>54</v>
      </c>
      <c r="F2">
        <v>49</v>
      </c>
      <c r="G2">
        <v>27</v>
      </c>
      <c r="H2">
        <v>56</v>
      </c>
      <c r="I2">
        <v>49</v>
      </c>
      <c r="J2">
        <v>26</v>
      </c>
      <c r="K2">
        <v>46</v>
      </c>
      <c r="L2">
        <v>72</v>
      </c>
      <c r="M2">
        <v>41</v>
      </c>
      <c r="N2">
        <v>38</v>
      </c>
      <c r="O2">
        <v>23</v>
      </c>
      <c r="P2">
        <v>65</v>
      </c>
    </row>
    <row r="3" spans="1:16" x14ac:dyDescent="0.25">
      <c r="B3" s="18">
        <v>59</v>
      </c>
      <c r="C3">
        <v>61</v>
      </c>
      <c r="D3">
        <v>41</v>
      </c>
      <c r="E3">
        <v>32</v>
      </c>
      <c r="F3">
        <v>42</v>
      </c>
      <c r="G3">
        <v>71</v>
      </c>
      <c r="H3">
        <v>55</v>
      </c>
      <c r="I3">
        <v>46</v>
      </c>
      <c r="J3">
        <v>71</v>
      </c>
      <c r="K3">
        <v>68</v>
      </c>
      <c r="L3">
        <v>37</v>
      </c>
      <c r="M3">
        <v>67</v>
      </c>
      <c r="N3">
        <v>36</v>
      </c>
      <c r="O3">
        <v>33</v>
      </c>
      <c r="P3">
        <v>38</v>
      </c>
    </row>
    <row r="4" spans="1:16" x14ac:dyDescent="0.25">
      <c r="B4" s="18">
        <v>39</v>
      </c>
      <c r="C4">
        <v>50</v>
      </c>
      <c r="D4">
        <v>39</v>
      </c>
      <c r="E4">
        <v>42</v>
      </c>
      <c r="F4">
        <v>45</v>
      </c>
      <c r="G4">
        <v>55</v>
      </c>
      <c r="H4">
        <v>45</v>
      </c>
      <c r="I4">
        <v>54</v>
      </c>
      <c r="J4">
        <v>87</v>
      </c>
      <c r="K4">
        <v>72</v>
      </c>
      <c r="L4">
        <v>68</v>
      </c>
      <c r="M4">
        <v>44</v>
      </c>
      <c r="N4">
        <v>33</v>
      </c>
      <c r="O4">
        <v>47</v>
      </c>
      <c r="P4">
        <v>63</v>
      </c>
    </row>
    <row r="5" spans="1:16" x14ac:dyDescent="0.25">
      <c r="B5" s="18">
        <v>69</v>
      </c>
      <c r="C5">
        <v>52</v>
      </c>
      <c r="D5">
        <v>67</v>
      </c>
      <c r="E5">
        <v>66</v>
      </c>
      <c r="F5">
        <v>7</v>
      </c>
      <c r="G5">
        <v>54</v>
      </c>
      <c r="H5">
        <v>56</v>
      </c>
      <c r="I5">
        <v>39</v>
      </c>
      <c r="J5">
        <v>40</v>
      </c>
      <c r="K5">
        <v>61</v>
      </c>
      <c r="L5">
        <v>73</v>
      </c>
      <c r="M5">
        <v>50</v>
      </c>
      <c r="N5">
        <v>49</v>
      </c>
      <c r="O5">
        <v>72</v>
      </c>
      <c r="P5">
        <v>57</v>
      </c>
    </row>
    <row r="6" spans="1:16" x14ac:dyDescent="0.25">
      <c r="B6" s="18">
        <v>77</v>
      </c>
      <c r="C6">
        <v>54</v>
      </c>
      <c r="D6">
        <v>70</v>
      </c>
      <c r="E6">
        <v>45</v>
      </c>
      <c r="F6">
        <v>49</v>
      </c>
      <c r="G6">
        <v>50</v>
      </c>
      <c r="H6">
        <v>41</v>
      </c>
      <c r="I6">
        <v>39</v>
      </c>
      <c r="J6">
        <v>61</v>
      </c>
      <c r="K6">
        <v>70</v>
      </c>
      <c r="L6">
        <v>44</v>
      </c>
      <c r="M6">
        <v>42</v>
      </c>
      <c r="N6">
        <v>43</v>
      </c>
      <c r="O6">
        <v>71</v>
      </c>
      <c r="P6">
        <v>57</v>
      </c>
    </row>
    <row r="7" spans="1:16" x14ac:dyDescent="0.25">
      <c r="B7" s="18">
        <v>70</v>
      </c>
      <c r="C7">
        <v>55</v>
      </c>
      <c r="D7">
        <v>45</v>
      </c>
      <c r="E7">
        <v>35</v>
      </c>
      <c r="F7">
        <v>40</v>
      </c>
      <c r="G7">
        <v>71</v>
      </c>
      <c r="H7">
        <v>17</v>
      </c>
      <c r="I7">
        <v>48</v>
      </c>
      <c r="J7">
        <v>49</v>
      </c>
      <c r="K7">
        <v>48</v>
      </c>
      <c r="L7">
        <v>72</v>
      </c>
      <c r="M7">
        <v>48</v>
      </c>
      <c r="N7">
        <v>53</v>
      </c>
      <c r="O7">
        <v>28</v>
      </c>
      <c r="P7">
        <v>44</v>
      </c>
    </row>
    <row r="8" spans="1:16" x14ac:dyDescent="0.25">
      <c r="B8" s="18">
        <v>64</v>
      </c>
      <c r="C8">
        <v>11</v>
      </c>
      <c r="D8">
        <v>66</v>
      </c>
      <c r="E8">
        <v>37</v>
      </c>
      <c r="F8">
        <v>12</v>
      </c>
      <c r="G8">
        <v>36</v>
      </c>
      <c r="H8">
        <v>15</v>
      </c>
      <c r="I8">
        <v>55</v>
      </c>
      <c r="J8">
        <v>39</v>
      </c>
      <c r="K8">
        <v>72</v>
      </c>
      <c r="L8">
        <v>61</v>
      </c>
      <c r="M8">
        <v>68</v>
      </c>
      <c r="N8">
        <v>42</v>
      </c>
      <c r="O8">
        <v>48</v>
      </c>
      <c r="P8">
        <v>72</v>
      </c>
    </row>
    <row r="9" spans="1:16" x14ac:dyDescent="0.25">
      <c r="B9" s="18">
        <v>48</v>
      </c>
      <c r="C9">
        <v>28</v>
      </c>
      <c r="D9">
        <v>40</v>
      </c>
      <c r="E9">
        <v>32</v>
      </c>
      <c r="F9">
        <v>26</v>
      </c>
      <c r="G9">
        <v>69</v>
      </c>
      <c r="H9">
        <v>33</v>
      </c>
      <c r="I9">
        <v>50</v>
      </c>
      <c r="J9">
        <v>78</v>
      </c>
      <c r="K9">
        <v>56</v>
      </c>
      <c r="L9">
        <v>61</v>
      </c>
      <c r="M9">
        <v>36</v>
      </c>
      <c r="N9">
        <v>44</v>
      </c>
      <c r="O9">
        <v>36</v>
      </c>
      <c r="P9">
        <v>52</v>
      </c>
    </row>
    <row r="10" spans="1:16" x14ac:dyDescent="0.25">
      <c r="B10" s="18">
        <v>25</v>
      </c>
      <c r="C10">
        <v>67</v>
      </c>
      <c r="D10">
        <v>50</v>
      </c>
      <c r="E10">
        <v>60</v>
      </c>
      <c r="F10">
        <v>69</v>
      </c>
      <c r="G10">
        <v>63</v>
      </c>
      <c r="H10">
        <v>60</v>
      </c>
      <c r="I10">
        <v>58</v>
      </c>
      <c r="J10">
        <v>46</v>
      </c>
      <c r="K10">
        <v>11</v>
      </c>
      <c r="L10">
        <v>59</v>
      </c>
      <c r="M10">
        <v>53</v>
      </c>
      <c r="N10">
        <v>77</v>
      </c>
      <c r="O10">
        <v>38</v>
      </c>
      <c r="P10">
        <v>54</v>
      </c>
    </row>
    <row r="11" spans="1:16" x14ac:dyDescent="0.25">
      <c r="B11" s="18">
        <v>41</v>
      </c>
      <c r="C11">
        <v>76</v>
      </c>
      <c r="D11">
        <v>56</v>
      </c>
      <c r="E11">
        <v>46</v>
      </c>
      <c r="F11">
        <v>26</v>
      </c>
      <c r="G11">
        <v>58</v>
      </c>
      <c r="H11">
        <v>40</v>
      </c>
      <c r="I11">
        <v>43</v>
      </c>
      <c r="J11">
        <v>55</v>
      </c>
      <c r="K11">
        <v>45</v>
      </c>
      <c r="L11">
        <v>73</v>
      </c>
      <c r="M11">
        <v>47</v>
      </c>
      <c r="N11">
        <v>76</v>
      </c>
      <c r="O11">
        <v>46</v>
      </c>
      <c r="P11">
        <v>16</v>
      </c>
    </row>
    <row r="12" spans="1:16" x14ac:dyDescent="0.25">
      <c r="B12" s="18">
        <v>86</v>
      </c>
      <c r="C12">
        <v>25</v>
      </c>
      <c r="D12">
        <v>27</v>
      </c>
      <c r="E12">
        <v>43</v>
      </c>
      <c r="F12">
        <v>26</v>
      </c>
      <c r="G12">
        <v>61</v>
      </c>
      <c r="H12">
        <v>64</v>
      </c>
      <c r="I12">
        <v>10</v>
      </c>
      <c r="J12">
        <v>50</v>
      </c>
      <c r="K12">
        <v>24</v>
      </c>
      <c r="L12">
        <v>42</v>
      </c>
      <c r="M12">
        <v>36</v>
      </c>
      <c r="N12">
        <v>33</v>
      </c>
      <c r="O12">
        <v>51</v>
      </c>
      <c r="P12">
        <v>34</v>
      </c>
    </row>
    <row r="13" spans="1:16" x14ac:dyDescent="0.25">
      <c r="B13" s="18">
        <v>54</v>
      </c>
      <c r="C13">
        <v>80</v>
      </c>
      <c r="D13">
        <v>56</v>
      </c>
      <c r="E13">
        <v>27</v>
      </c>
      <c r="F13">
        <v>57</v>
      </c>
      <c r="G13">
        <v>76</v>
      </c>
      <c r="H13">
        <v>43</v>
      </c>
      <c r="I13">
        <v>49</v>
      </c>
      <c r="J13">
        <v>43</v>
      </c>
      <c r="K13">
        <v>67</v>
      </c>
      <c r="L13">
        <v>75</v>
      </c>
      <c r="M13">
        <v>64</v>
      </c>
      <c r="N13">
        <v>39</v>
      </c>
      <c r="O13">
        <v>64</v>
      </c>
      <c r="P13">
        <v>53</v>
      </c>
    </row>
    <row r="14" spans="1:16" x14ac:dyDescent="0.25">
      <c r="B14" s="18">
        <v>62</v>
      </c>
      <c r="C14">
        <v>88</v>
      </c>
      <c r="D14">
        <v>27</v>
      </c>
      <c r="E14">
        <v>37</v>
      </c>
      <c r="F14">
        <v>56</v>
      </c>
      <c r="G14">
        <v>67</v>
      </c>
      <c r="H14">
        <v>63</v>
      </c>
      <c r="I14">
        <v>56</v>
      </c>
      <c r="J14">
        <v>48</v>
      </c>
      <c r="K14">
        <v>28</v>
      </c>
      <c r="L14">
        <v>24</v>
      </c>
      <c r="M14">
        <v>42</v>
      </c>
      <c r="N14">
        <v>43</v>
      </c>
      <c r="O14">
        <v>48</v>
      </c>
      <c r="P14">
        <v>49</v>
      </c>
    </row>
    <row r="16" spans="1:16" x14ac:dyDescent="0.25">
      <c r="A16" s="4" t="s">
        <v>1</v>
      </c>
      <c r="B16">
        <f>MAX(dataB)</f>
        <v>88</v>
      </c>
    </row>
    <row r="17" spans="1:12" x14ac:dyDescent="0.25">
      <c r="A17" s="4" t="s">
        <v>2</v>
      </c>
      <c r="B17">
        <f>MIN(dataB)</f>
        <v>7</v>
      </c>
    </row>
    <row r="18" spans="1:12" x14ac:dyDescent="0.25">
      <c r="A18" s="4" t="s">
        <v>0</v>
      </c>
      <c r="B18">
        <f>B16-B17</f>
        <v>81</v>
      </c>
    </row>
    <row r="19" spans="1:12" x14ac:dyDescent="0.25">
      <c r="A19" s="4" t="s">
        <v>36</v>
      </c>
      <c r="B19">
        <f>INT(5*LOG10(COUNT(dataB)))</f>
        <v>11</v>
      </c>
    </row>
    <row r="20" spans="1:12" x14ac:dyDescent="0.25">
      <c r="A20" s="4" t="s">
        <v>61</v>
      </c>
      <c r="B20" s="1">
        <f>B18/B19</f>
        <v>7.3636363636363633</v>
      </c>
    </row>
    <row r="23" spans="1:12" x14ac:dyDescent="0.25">
      <c r="A23" t="s">
        <v>6</v>
      </c>
      <c r="B23" t="s">
        <v>38</v>
      </c>
      <c r="C23" t="s">
        <v>39</v>
      </c>
      <c r="D23" t="s">
        <v>41</v>
      </c>
      <c r="E23" t="s">
        <v>42</v>
      </c>
      <c r="F23" t="s">
        <v>7</v>
      </c>
      <c r="G23" t="s">
        <v>40</v>
      </c>
      <c r="H23" t="s">
        <v>37</v>
      </c>
      <c r="I23" t="s">
        <v>19</v>
      </c>
      <c r="J23" t="s">
        <v>20</v>
      </c>
      <c r="K23" t="s">
        <v>21</v>
      </c>
      <c r="L23" t="s">
        <v>22</v>
      </c>
    </row>
    <row r="24" spans="1:12" x14ac:dyDescent="0.25">
      <c r="A24">
        <v>1</v>
      </c>
      <c r="B24" s="1">
        <f>B17-$B$20/2</f>
        <v>3.3181818181818183</v>
      </c>
      <c r="C24" s="1">
        <f>Table1[[#This Row],[Начало интервала]]+$B$20</f>
        <v>10.681818181818182</v>
      </c>
      <c r="D24" s="1">
        <f>(Table1[[#This Row],[Начало интервала]]+Table1[[#This Row],[Конец интервала]])/2</f>
        <v>7</v>
      </c>
      <c r="E24">
        <f>COUNTIFS(dataB, "&gt;="&amp;Table1[[#This Row],[Начало интервала]], dataB, "&lt;"&amp;Table1[[#This Row],[Конец интервала]])</f>
        <v>2</v>
      </c>
      <c r="F24">
        <f>SUM($E$24:Table1[[#This Row],[Частоты (n)]])</f>
        <v>2</v>
      </c>
      <c r="G24" s="1">
        <f>Table1[[#This Row],[Частоты (n)]]/($E$36*$B$20)</f>
        <v>1.2933568489124046E-3</v>
      </c>
      <c r="H24" s="1">
        <f>Table1[[#This Row],[Накопленные частоты]]/$E$36</f>
        <v>9.5238095238095247E-3</v>
      </c>
      <c r="I24" s="1">
        <f>Table1[[#This Row],[Середины (x)]]*Table1[[#This Row],[Частоты (n)]]</f>
        <v>14</v>
      </c>
      <c r="J24" s="1">
        <f>Table1[[#This Row],[Середины (x)]]^2*Table1[[#This Row],[Частоты (n)]]</f>
        <v>98</v>
      </c>
      <c r="K24" s="1">
        <f>Table1[[#This Row],[Середины (x)]]^3*Table1[[#This Row],[Частоты (n)]]</f>
        <v>686</v>
      </c>
      <c r="L24" s="1">
        <f>Table1[[#This Row],[Середины (x)]]^4*Table1[[#This Row],[Частоты (n)]]</f>
        <v>4802</v>
      </c>
    </row>
    <row r="25" spans="1:12" x14ac:dyDescent="0.25">
      <c r="A25">
        <v>2</v>
      </c>
      <c r="B25" s="1">
        <f>C24</f>
        <v>10.681818181818182</v>
      </c>
      <c r="C25" s="1">
        <f>Table1[[#This Row],[Начало интервала]]+$B$20</f>
        <v>18.045454545454547</v>
      </c>
      <c r="D25" s="1">
        <f>(Table1[[#This Row],[Начало интервала]]+Table1[[#This Row],[Конец интервала]])/2</f>
        <v>14.363636363636363</v>
      </c>
      <c r="E25">
        <f>COUNTIFS(dataB, "&gt;="&amp;Table1[[#This Row],[Начало интервала]], dataB, "&lt;"&amp;Table1[[#This Row],[Конец интервала]])</f>
        <v>7</v>
      </c>
      <c r="F25">
        <f>SUM($E$24:Table1[[#This Row],[Частоты (n)]])</f>
        <v>9</v>
      </c>
      <c r="G25" s="1">
        <f>Table1[[#This Row],[Частоты (n)]]/($E$36*$B$20)</f>
        <v>4.5267489711934162E-3</v>
      </c>
      <c r="H25" s="1">
        <f>Table1[[#This Row],[Накопленные частоты]]/$E$36</f>
        <v>4.2857142857142858E-2</v>
      </c>
      <c r="I25" s="1">
        <f>Table1[[#This Row],[Середины (x)]]*Table1[[#This Row],[Частоты (n)]]</f>
        <v>100.54545454545455</v>
      </c>
      <c r="J25" s="1">
        <f>Table1[[#This Row],[Середины (x)]]^2*Table1[[#This Row],[Частоты (n)]]</f>
        <v>1444.1983471074379</v>
      </c>
      <c r="K25" s="1">
        <f>Table1[[#This Row],[Середины (x)]]^3*Table1[[#This Row],[Частоты (n)]]</f>
        <v>20743.939894815925</v>
      </c>
      <c r="L25" s="1">
        <f>Table1[[#This Row],[Середины (x)]]^4*Table1[[#This Row],[Частоты (n)]]</f>
        <v>297958.40939826512</v>
      </c>
    </row>
    <row r="26" spans="1:12" x14ac:dyDescent="0.25">
      <c r="A26">
        <v>3</v>
      </c>
      <c r="B26" s="1">
        <f>C25</f>
        <v>18.045454545454547</v>
      </c>
      <c r="C26" s="1">
        <f>Table1[[#This Row],[Начало интервала]]+$B$20</f>
        <v>25.40909090909091</v>
      </c>
      <c r="D26" s="1">
        <f>(Table1[[#This Row],[Начало интервала]]+Table1[[#This Row],[Конец интервала]])/2</f>
        <v>21.727272727272727</v>
      </c>
      <c r="E26">
        <f>COUNTIFS(dataB, "&gt;="&amp;Table1[[#This Row],[Начало интервала]], dataB, "&lt;"&amp;Table1[[#This Row],[Конец интервала]])</f>
        <v>6</v>
      </c>
      <c r="F26">
        <f>SUM($E$24:Table1[[#This Row],[Частоты (n)]])</f>
        <v>15</v>
      </c>
      <c r="G26" s="1">
        <f>Table1[[#This Row],[Частоты (n)]]/($E$36*$B$20)</f>
        <v>3.8800705467372134E-3</v>
      </c>
      <c r="H26" s="1">
        <f>Table1[[#This Row],[Накопленные частоты]]/$E$36</f>
        <v>7.1428571428571425E-2</v>
      </c>
      <c r="I26" s="1">
        <f>Table1[[#This Row],[Середины (x)]]*Table1[[#This Row],[Частоты (n)]]</f>
        <v>130.36363636363637</v>
      </c>
      <c r="J26" s="1">
        <f>Table1[[#This Row],[Середины (x)]]^2*Table1[[#This Row],[Частоты (n)]]</f>
        <v>2832.4462809917354</v>
      </c>
      <c r="K26" s="1">
        <f>Table1[[#This Row],[Середины (x)]]^3*Table1[[#This Row],[Частоты (n)]]</f>
        <v>61541.332832456799</v>
      </c>
      <c r="L26" s="1">
        <f>Table1[[#This Row],[Середины (x)]]^4*Table1[[#This Row],[Частоты (n)]]</f>
        <v>1337125.3224506523</v>
      </c>
    </row>
    <row r="27" spans="1:12" x14ac:dyDescent="0.25">
      <c r="A27">
        <v>4</v>
      </c>
      <c r="B27" s="1">
        <f t="shared" ref="B27:B35" si="0">C26</f>
        <v>25.40909090909091</v>
      </c>
      <c r="C27" s="1">
        <f>Table1[[#This Row],[Начало интервала]]+$B$20</f>
        <v>32.772727272727273</v>
      </c>
      <c r="D27" s="1">
        <f>(Table1[[#This Row],[Начало интервала]]+Table1[[#This Row],[Конец интервала]])/2</f>
        <v>29.090909090909093</v>
      </c>
      <c r="E27">
        <f>COUNTIFS(dataB, "&gt;="&amp;Table1[[#This Row],[Начало интервала]], dataB, "&lt;"&amp;Table1[[#This Row],[Конец интервала]])</f>
        <v>13</v>
      </c>
      <c r="F27">
        <f>SUM($E$24:Table1[[#This Row],[Частоты (n)]])</f>
        <v>28</v>
      </c>
      <c r="G27" s="1">
        <f>Table1[[#This Row],[Частоты (n)]]/($E$36*$B$20)</f>
        <v>8.4068195179306301E-3</v>
      </c>
      <c r="H27" s="1">
        <f>Table1[[#This Row],[Накопленные частоты]]/$E$36</f>
        <v>0.13333333333333333</v>
      </c>
      <c r="I27" s="1">
        <f>Table1[[#This Row],[Середины (x)]]*Table1[[#This Row],[Частоты (n)]]</f>
        <v>378.18181818181824</v>
      </c>
      <c r="J27" s="1">
        <f>Table1[[#This Row],[Середины (x)]]^2*Table1[[#This Row],[Частоты (n)]]</f>
        <v>11001.652892561986</v>
      </c>
      <c r="K27" s="1">
        <f>Table1[[#This Row],[Середины (x)]]^3*Table1[[#This Row],[Частоты (n)]]</f>
        <v>320048.08414725779</v>
      </c>
      <c r="L27" s="1">
        <f>Table1[[#This Row],[Середины (x)]]^4*Table1[[#This Row],[Частоты (n)]]</f>
        <v>9310489.7206475008</v>
      </c>
    </row>
    <row r="28" spans="1:12" x14ac:dyDescent="0.25">
      <c r="A28">
        <v>5</v>
      </c>
      <c r="B28" s="1">
        <f>C27</f>
        <v>32.772727272727273</v>
      </c>
      <c r="C28" s="1">
        <f>Table1[[#This Row],[Начало интервала]]+$B$20</f>
        <v>40.13636363636364</v>
      </c>
      <c r="D28" s="1">
        <f>(Table1[[#This Row],[Начало интервала]]+Table1[[#This Row],[Конец интервала]])/2</f>
        <v>36.454545454545453</v>
      </c>
      <c r="E28">
        <f>COUNTIFS(dataB, "&gt;="&amp;Table1[[#This Row],[Начало интервала]], dataB, "&lt;"&amp;Table1[[#This Row],[Конец интервала]])</f>
        <v>28</v>
      </c>
      <c r="F28">
        <f>SUM($E$24:Table1[[#This Row],[Частоты (n)]])</f>
        <v>56</v>
      </c>
      <c r="G28" s="1">
        <f>Table1[[#This Row],[Частоты (n)]]/($E$36*$B$20)</f>
        <v>1.8106995884773665E-2</v>
      </c>
      <c r="H28" s="1">
        <f>Table1[[#This Row],[Накопленные частоты]]/$E$36</f>
        <v>0.26666666666666666</v>
      </c>
      <c r="I28" s="1">
        <f>Table1[[#This Row],[Середины (x)]]*Table1[[#This Row],[Частоты (n)]]</f>
        <v>1020.7272727272727</v>
      </c>
      <c r="J28" s="1">
        <f>Table1[[#This Row],[Середины (x)]]^2*Table1[[#This Row],[Частоты (n)]]</f>
        <v>37210.148760330572</v>
      </c>
      <c r="K28" s="1">
        <f>Table1[[#This Row],[Середины (x)]]^3*Table1[[#This Row],[Частоты (n)]]</f>
        <v>1356479.0593538689</v>
      </c>
      <c r="L28" s="1">
        <f>Table1[[#This Row],[Середины (x)]]^4*Table1[[#This Row],[Частоты (n)]]</f>
        <v>49449827.52735468</v>
      </c>
    </row>
    <row r="29" spans="1:12" x14ac:dyDescent="0.25">
      <c r="A29">
        <v>6</v>
      </c>
      <c r="B29" s="1">
        <f t="shared" si="0"/>
        <v>40.13636363636364</v>
      </c>
      <c r="C29" s="1">
        <f>Table1[[#This Row],[Начало интервала]]+$B$20</f>
        <v>47.5</v>
      </c>
      <c r="D29" s="1">
        <f>(Table1[[#This Row],[Начало интервала]]+Table1[[#This Row],[Конец интервала]])/2</f>
        <v>43.81818181818182</v>
      </c>
      <c r="E29">
        <f>COUNTIFS(dataB, "&gt;="&amp;Table1[[#This Row],[Начало интервала]], dataB, "&lt;"&amp;Table1[[#This Row],[Конец интервала]])</f>
        <v>36</v>
      </c>
      <c r="F29">
        <f>SUM($E$24:Table1[[#This Row],[Частоты (n)]])</f>
        <v>92</v>
      </c>
      <c r="G29" s="1">
        <f>Table1[[#This Row],[Частоты (n)]]/($E$36*$B$20)</f>
        <v>2.3280423280423283E-2</v>
      </c>
      <c r="H29" s="1">
        <f>Table1[[#This Row],[Накопленные частоты]]/$E$36</f>
        <v>0.43809523809523809</v>
      </c>
      <c r="I29" s="1">
        <f>Table1[[#This Row],[Середины (x)]]*Table1[[#This Row],[Частоты (n)]]</f>
        <v>1577.4545454545455</v>
      </c>
      <c r="J29" s="1">
        <f>Table1[[#This Row],[Середины (x)]]^2*Table1[[#This Row],[Частоты (n)]]</f>
        <v>69121.190082644636</v>
      </c>
      <c r="K29" s="1">
        <f>Table1[[#This Row],[Середины (x)]]^3*Table1[[#This Row],[Частоты (n)]]</f>
        <v>3028764.8745304286</v>
      </c>
      <c r="L29" s="1">
        <f>Table1[[#This Row],[Середины (x)]]^4*Table1[[#This Row],[Частоты (n)]]</f>
        <v>132714969.95669697</v>
      </c>
    </row>
    <row r="30" spans="1:12" x14ac:dyDescent="0.25">
      <c r="A30">
        <v>7</v>
      </c>
      <c r="B30" s="1">
        <f t="shared" si="0"/>
        <v>47.5</v>
      </c>
      <c r="C30" s="1">
        <f>Table1[[#This Row],[Начало интервала]]+$B$20</f>
        <v>54.86363636363636</v>
      </c>
      <c r="D30" s="1">
        <f>(Table1[[#This Row],[Начало интервала]]+Table1[[#This Row],[Конец интервала]])/2</f>
        <v>51.18181818181818</v>
      </c>
      <c r="E30">
        <f>COUNTIFS(dataB, "&gt;="&amp;Table1[[#This Row],[Начало интервала]], dataB, "&lt;"&amp;Table1[[#This Row],[Конец интервала]])</f>
        <v>37</v>
      </c>
      <c r="F30">
        <f>SUM($E$24:Table1[[#This Row],[Частоты (n)]])</f>
        <v>129</v>
      </c>
      <c r="G30" s="1">
        <f>Table1[[#This Row],[Частоты (n)]]/($E$36*$B$20)</f>
        <v>2.3927101704879484E-2</v>
      </c>
      <c r="H30" s="1">
        <f>Table1[[#This Row],[Накопленные частоты]]/$E$36</f>
        <v>0.61428571428571432</v>
      </c>
      <c r="I30" s="1">
        <f>Table1[[#This Row],[Середины (x)]]*Table1[[#This Row],[Частоты (n)]]</f>
        <v>1893.7272727272727</v>
      </c>
      <c r="J30" s="1">
        <f>Table1[[#This Row],[Середины (x)]]^2*Table1[[#This Row],[Частоты (n)]]</f>
        <v>96924.404958677667</v>
      </c>
      <c r="K30" s="1">
        <f>Table1[[#This Row],[Середины (x)]]^3*Table1[[#This Row],[Частоты (n)]]</f>
        <v>4960767.2719759578</v>
      </c>
      <c r="L30" s="1">
        <f>Table1[[#This Row],[Середины (x)]]^4*Table1[[#This Row],[Частоты (n)]]</f>
        <v>253901088.55658761</v>
      </c>
    </row>
    <row r="31" spans="1:12" x14ac:dyDescent="0.25">
      <c r="A31">
        <v>8</v>
      </c>
      <c r="B31" s="1">
        <f t="shared" si="0"/>
        <v>54.86363636363636</v>
      </c>
      <c r="C31" s="1">
        <f>Table1[[#This Row],[Начало интервала]]+$B$20</f>
        <v>62.22727272727272</v>
      </c>
      <c r="D31" s="1">
        <f>(Table1[[#This Row],[Начало интервала]]+Table1[[#This Row],[Конец интервала]])/2</f>
        <v>58.54545454545454</v>
      </c>
      <c r="E31">
        <f>COUNTIFS(dataB, "&gt;="&amp;Table1[[#This Row],[Начало интервала]], dataB, "&lt;"&amp;Table1[[#This Row],[Конец интервала]])</f>
        <v>30</v>
      </c>
      <c r="F31">
        <f>SUM($E$24:Table1[[#This Row],[Частоты (n)]])</f>
        <v>159</v>
      </c>
      <c r="G31" s="1">
        <f>Table1[[#This Row],[Частоты (n)]]/($E$36*$B$20)</f>
        <v>1.9400352733686069E-2</v>
      </c>
      <c r="H31" s="1">
        <f>Table1[[#This Row],[Накопленные частоты]]/$E$36</f>
        <v>0.75714285714285712</v>
      </c>
      <c r="I31" s="1">
        <f>Table1[[#This Row],[Середины (x)]]*Table1[[#This Row],[Частоты (n)]]</f>
        <v>1756.3636363636363</v>
      </c>
      <c r="J31" s="1">
        <f>Table1[[#This Row],[Середины (x)]]^2*Table1[[#This Row],[Частоты (n)]]</f>
        <v>102827.10743801651</v>
      </c>
      <c r="K31" s="1">
        <f>Table1[[#This Row],[Середины (x)]]^3*Table1[[#This Row],[Частоты (n)]]</f>
        <v>6020059.7445529662</v>
      </c>
      <c r="L31" s="1">
        <f>Table1[[#This Row],[Середины (x)]]^4*Table1[[#This Row],[Частоты (n)]]</f>
        <v>352447134.13564634</v>
      </c>
    </row>
    <row r="32" spans="1:12" x14ac:dyDescent="0.25">
      <c r="A32">
        <v>9</v>
      </c>
      <c r="B32" s="1">
        <f t="shared" si="0"/>
        <v>62.22727272727272</v>
      </c>
      <c r="C32" s="1">
        <f>Table1[[#This Row],[Начало интервала]]+$B$20</f>
        <v>69.590909090909079</v>
      </c>
      <c r="D32" s="1">
        <f>(Table1[[#This Row],[Начало интервала]]+Table1[[#This Row],[Конец интервала]])/2</f>
        <v>65.909090909090907</v>
      </c>
      <c r="E32">
        <f>COUNTIFS(dataB, "&gt;="&amp;Table1[[#This Row],[Начало интервала]], dataB, "&lt;"&amp;Table1[[#This Row],[Конец интервала]])</f>
        <v>22</v>
      </c>
      <c r="F32">
        <f>SUM($E$24:Table1[[#This Row],[Частоты (n)]])</f>
        <v>181</v>
      </c>
      <c r="G32" s="1">
        <f>Table1[[#This Row],[Частоты (n)]]/($E$36*$B$20)</f>
        <v>1.4226925338036451E-2</v>
      </c>
      <c r="H32" s="1">
        <f>Table1[[#This Row],[Накопленные частоты]]/$E$36</f>
        <v>0.86190476190476195</v>
      </c>
      <c r="I32" s="1">
        <f>Table1[[#This Row],[Середины (x)]]*Table1[[#This Row],[Частоты (n)]]</f>
        <v>1450</v>
      </c>
      <c r="J32" s="1">
        <f>Table1[[#This Row],[Середины (x)]]^2*Table1[[#This Row],[Частоты (n)]]</f>
        <v>95568.181818181794</v>
      </c>
      <c r="K32" s="1">
        <f>Table1[[#This Row],[Середины (x)]]^3*Table1[[#This Row],[Частоты (n)]]</f>
        <v>6298811.9834710732</v>
      </c>
      <c r="L32" s="1">
        <f>Table1[[#This Row],[Середины (x)]]^4*Table1[[#This Row],[Частоты (n)]]</f>
        <v>415148971.63786614</v>
      </c>
    </row>
    <row r="33" spans="1:12" x14ac:dyDescent="0.25">
      <c r="A33">
        <v>10</v>
      </c>
      <c r="B33" s="1">
        <f t="shared" si="0"/>
        <v>69.590909090909079</v>
      </c>
      <c r="C33" s="1">
        <f>Table1[[#This Row],[Начало интервала]]+$B$20</f>
        <v>76.954545454545439</v>
      </c>
      <c r="D33" s="1">
        <f>(Table1[[#This Row],[Начало интервала]]+Table1[[#This Row],[Конец интервала]])/2</f>
        <v>73.272727272727252</v>
      </c>
      <c r="E33">
        <f>COUNTIFS(dataB, "&gt;="&amp;Table1[[#This Row],[Начало интервала]], dataB, "&lt;"&amp;Table1[[#This Row],[Конец интервала]])</f>
        <v>19</v>
      </c>
      <c r="F33">
        <f>SUM($E$24:Table1[[#This Row],[Частоты (n)]])</f>
        <v>200</v>
      </c>
      <c r="G33" s="1">
        <f>Table1[[#This Row],[Частоты (n)]]/($E$36*$B$20)</f>
        <v>1.2286890064667844E-2</v>
      </c>
      <c r="H33" s="1">
        <f>Table1[[#This Row],[Накопленные частоты]]/$E$36</f>
        <v>0.95238095238095233</v>
      </c>
      <c r="I33" s="1">
        <f>Table1[[#This Row],[Середины (x)]]*Table1[[#This Row],[Частоты (n)]]</f>
        <v>1392.1818181818178</v>
      </c>
      <c r="J33" s="1">
        <f>Table1[[#This Row],[Середины (x)]]^2*Table1[[#This Row],[Частоты (n)]]</f>
        <v>102008.95867768589</v>
      </c>
      <c r="K33" s="1">
        <f>Table1[[#This Row],[Середины (x)]]^3*Table1[[#This Row],[Частоты (n)]]</f>
        <v>7474474.6085649822</v>
      </c>
      <c r="L33" s="1">
        <f>Table1[[#This Row],[Середины (x)]]^4*Table1[[#This Row],[Частоты (n)]]</f>
        <v>547675139.50030673</v>
      </c>
    </row>
    <row r="34" spans="1:12" x14ac:dyDescent="0.25">
      <c r="A34">
        <v>11</v>
      </c>
      <c r="B34" s="1">
        <f t="shared" si="0"/>
        <v>76.954545454545439</v>
      </c>
      <c r="C34" s="1">
        <f>Table1[[#This Row],[Начало интервала]]+$B$20</f>
        <v>84.318181818181799</v>
      </c>
      <c r="D34" s="1">
        <f>(Table1[[#This Row],[Начало интервала]]+Table1[[#This Row],[Конец интервала]])/2</f>
        <v>80.636363636363626</v>
      </c>
      <c r="E34">
        <f>COUNTIFS(dataB, "&gt;="&amp;Table1[[#This Row],[Начало интервала]], dataB, "&lt;"&amp;Table1[[#This Row],[Конец интервала]])</f>
        <v>7</v>
      </c>
      <c r="F34">
        <f>SUM($E$24:Table1[[#This Row],[Частоты (n)]])</f>
        <v>207</v>
      </c>
      <c r="G34" s="1">
        <f>Table1[[#This Row],[Частоты (n)]]/($E$36*$B$20)</f>
        <v>4.5267489711934162E-3</v>
      </c>
      <c r="H34" s="1">
        <f>Table1[[#This Row],[Накопленные частоты]]/$E$36</f>
        <v>0.98571428571428577</v>
      </c>
      <c r="I34" s="1">
        <f>Table1[[#This Row],[Середины (x)]]*Table1[[#This Row],[Частоты (n)]]</f>
        <v>564.45454545454538</v>
      </c>
      <c r="J34" s="1">
        <f>Table1[[#This Row],[Середины (x)]]^2*Table1[[#This Row],[Частоты (n)]]</f>
        <v>45515.56198347106</v>
      </c>
      <c r="K34" s="1">
        <f>Table1[[#This Row],[Середины (x)]]^3*Table1[[#This Row],[Частоты (n)]]</f>
        <v>3670209.4072126206</v>
      </c>
      <c r="L34" s="1">
        <f>Table1[[#This Row],[Середины (x)]]^4*Table1[[#This Row],[Частоты (n)]]</f>
        <v>295952340.38159943</v>
      </c>
    </row>
    <row r="35" spans="1:12" x14ac:dyDescent="0.25">
      <c r="A35">
        <v>12</v>
      </c>
      <c r="B35" s="1">
        <f t="shared" si="0"/>
        <v>84.318181818181799</v>
      </c>
      <c r="C35" s="1">
        <f>Table1[[#This Row],[Начало интервала]]+$B$20</f>
        <v>91.681818181818159</v>
      </c>
      <c r="D35" s="1">
        <f>(Table1[[#This Row],[Начало интервала]]+Table1[[#This Row],[Конец интервала]])/2</f>
        <v>87.999999999999972</v>
      </c>
      <c r="E35">
        <f>COUNTIFS(dataB, "&gt;="&amp;Table1[[#This Row],[Начало интервала]], dataB, "&lt;"&amp;Table1[[#This Row],[Конец интервала]])</f>
        <v>3</v>
      </c>
      <c r="F35">
        <f>SUM($E$24:Table1[[#This Row],[Частоты (n)]])</f>
        <v>210</v>
      </c>
      <c r="G35" s="1">
        <f>Table1[[#This Row],[Частоты (n)]]/($E$36*$B$20)</f>
        <v>1.9400352733686067E-3</v>
      </c>
      <c r="H35" s="1">
        <f>Table1[[#This Row],[Накопленные частоты]]/$E$36</f>
        <v>1</v>
      </c>
      <c r="I35" s="1">
        <f>Table1[[#This Row],[Середины (x)]]*Table1[[#This Row],[Частоты (n)]]</f>
        <v>263.99999999999989</v>
      </c>
      <c r="J35" s="1">
        <f>Table1[[#This Row],[Середины (x)]]^2*Table1[[#This Row],[Частоты (n)]]</f>
        <v>23231.999999999985</v>
      </c>
      <c r="K35" s="1">
        <f>Table1[[#This Row],[Середины (x)]]^3*Table1[[#This Row],[Частоты (n)]]</f>
        <v>2044415.9999999979</v>
      </c>
      <c r="L35" s="1">
        <f>Table1[[#This Row],[Середины (x)]]^4*Table1[[#This Row],[Частоты (n)]]</f>
        <v>179908607.99999976</v>
      </c>
    </row>
    <row r="36" spans="1:12" x14ac:dyDescent="0.25">
      <c r="A36" t="s">
        <v>9</v>
      </c>
      <c r="B36">
        <f>COUNT(Table1[№])</f>
        <v>12</v>
      </c>
      <c r="E36" s="3">
        <f>SUM(Table1[Частоты (n)])</f>
        <v>210</v>
      </c>
      <c r="G36" s="1"/>
      <c r="I36" s="1">
        <f>SUM(Table1[x*n])</f>
        <v>10542</v>
      </c>
      <c r="J36" s="1">
        <f>SUM(Table1[x^2*n])</f>
        <v>587783.85123966925</v>
      </c>
      <c r="K36" s="1">
        <f>SUM(Table1[x^3*n])</f>
        <v>35257002.306536429</v>
      </c>
      <c r="L36" s="1">
        <f>SUM(Table1[x^4*n])</f>
        <v>2238148455.1485538</v>
      </c>
    </row>
    <row r="67" spans="1:5" x14ac:dyDescent="0.25">
      <c r="A67" t="s">
        <v>51</v>
      </c>
      <c r="D67" t="s">
        <v>60</v>
      </c>
    </row>
    <row r="68" spans="1:5" x14ac:dyDescent="0.25">
      <c r="A68" s="4" t="s">
        <v>23</v>
      </c>
      <c r="B68" s="1">
        <f>I36/E36</f>
        <v>50.2</v>
      </c>
      <c r="D68" s="4" t="s">
        <v>28</v>
      </c>
      <c r="E68" s="1">
        <f>B68-B68</f>
        <v>0</v>
      </c>
    </row>
    <row r="69" spans="1:5" x14ac:dyDescent="0.25">
      <c r="A69" s="4" t="s">
        <v>24</v>
      </c>
      <c r="B69">
        <f>J36/E36</f>
        <v>2798.9707201889014</v>
      </c>
      <c r="D69" s="4" t="s">
        <v>27</v>
      </c>
      <c r="E69" s="1">
        <f>B69-B68^2</f>
        <v>278.93072018890098</v>
      </c>
    </row>
    <row r="70" spans="1:5" x14ac:dyDescent="0.25">
      <c r="A70" s="4" t="s">
        <v>25</v>
      </c>
      <c r="B70">
        <f>K36/E36</f>
        <v>167890.48717398298</v>
      </c>
      <c r="D70" s="4" t="s">
        <v>29</v>
      </c>
      <c r="E70" s="1">
        <f>B70-3*B68*B69+2*B68^3</f>
        <v>-622.48728646556265</v>
      </c>
    </row>
    <row r="71" spans="1:5" x14ac:dyDescent="0.25">
      <c r="A71" s="4" t="s">
        <v>26</v>
      </c>
      <c r="B71">
        <f>L36/E36</f>
        <v>10657849.786421685</v>
      </c>
      <c r="D71" s="4" t="s">
        <v>30</v>
      </c>
      <c r="E71" s="1">
        <f>B71-4*B68*B70+6*B68^2*B69-3*B68^4</f>
        <v>214744.19931493327</v>
      </c>
    </row>
    <row r="72" spans="1:5" x14ac:dyDescent="0.25">
      <c r="A72" s="4"/>
      <c r="D72" s="4" t="s">
        <v>44</v>
      </c>
      <c r="E72" s="1">
        <f>E69</f>
        <v>278.93072018890098</v>
      </c>
    </row>
    <row r="73" spans="1:5" x14ac:dyDescent="0.25">
      <c r="A73" s="4" t="s">
        <v>32</v>
      </c>
      <c r="B73" s="1">
        <f>B30+B20*(0.5*E36-F29)/F30</f>
        <v>48.242071881606762</v>
      </c>
      <c r="C73" s="1">
        <v>0.45573384030000003</v>
      </c>
    </row>
    <row r="74" spans="1:5" x14ac:dyDescent="0.25">
      <c r="A74" s="6" t="s">
        <v>31</v>
      </c>
      <c r="B74" s="1">
        <f>B30+B20*(E30-E29)/((E30-E29)+(E30-E31))</f>
        <v>48.420454545454547</v>
      </c>
    </row>
    <row r="75" spans="1:5" x14ac:dyDescent="0.25">
      <c r="A75" s="4" t="s">
        <v>93</v>
      </c>
      <c r="B75" s="1">
        <f>E36/(E36-1)*E69</f>
        <v>280.26531693621627</v>
      </c>
    </row>
    <row r="76" spans="1:5" x14ac:dyDescent="0.25">
      <c r="A76" s="4" t="s">
        <v>33</v>
      </c>
      <c r="B76" s="1">
        <f>E70/B75^3</f>
        <v>-2.8276289248737417E-5</v>
      </c>
    </row>
    <row r="77" spans="1:5" x14ac:dyDescent="0.25">
      <c r="A77" s="4" t="s">
        <v>34</v>
      </c>
      <c r="B77" s="1">
        <f>E71/B75^4-3</f>
        <v>-2.9999651948095649</v>
      </c>
    </row>
    <row r="79" spans="1:5" x14ac:dyDescent="0.25">
      <c r="A79" s="4" t="s">
        <v>46</v>
      </c>
    </row>
    <row r="80" spans="1:5" x14ac:dyDescent="0.25">
      <c r="A80" t="s">
        <v>63</v>
      </c>
    </row>
    <row r="81" spans="1:6" x14ac:dyDescent="0.25">
      <c r="A81" t="s">
        <v>67</v>
      </c>
    </row>
    <row r="82" spans="1:6" x14ac:dyDescent="0.25">
      <c r="A82" t="s">
        <v>66</v>
      </c>
    </row>
    <row r="83" spans="1:6" x14ac:dyDescent="0.25">
      <c r="A83" t="s">
        <v>65</v>
      </c>
    </row>
    <row r="84" spans="1:6" x14ac:dyDescent="0.25">
      <c r="A84" t="s">
        <v>70</v>
      </c>
    </row>
    <row r="85" spans="1:6" x14ac:dyDescent="0.25">
      <c r="A85" t="s">
        <v>71</v>
      </c>
    </row>
    <row r="87" spans="1:6" ht="15.75" x14ac:dyDescent="0.25">
      <c r="A87" s="8" t="s">
        <v>79</v>
      </c>
    </row>
    <row r="88" spans="1:6" x14ac:dyDescent="0.25">
      <c r="A88" t="s">
        <v>5</v>
      </c>
      <c r="B88" t="s">
        <v>45</v>
      </c>
      <c r="D88" s="7" t="s">
        <v>57</v>
      </c>
      <c r="E88" s="7" t="s">
        <v>58</v>
      </c>
      <c r="F88" s="7" t="s">
        <v>59</v>
      </c>
    </row>
    <row r="89" spans="1:6" x14ac:dyDescent="0.25">
      <c r="A89" s="1">
        <v>7</v>
      </c>
      <c r="B89" s="1">
        <f t="shared" ref="B89:B100" si="1">1/(SQRT(2*PI()*$B$75))*EXP(-((A89-$B$68)^2)/(2*$B$75))</f>
        <v>8.5345008883893551E-4</v>
      </c>
      <c r="D89" s="4" t="s">
        <v>48</v>
      </c>
      <c r="E89">
        <v>0</v>
      </c>
      <c r="F89" s="1">
        <f>ABS(E89-B76)</f>
        <v>2.8276289248737417E-5</v>
      </c>
    </row>
    <row r="90" spans="1:6" x14ac:dyDescent="0.25">
      <c r="A90" s="1">
        <v>14.363636363636363</v>
      </c>
      <c r="B90" s="1">
        <f t="shared" si="1"/>
        <v>2.4104773475029763E-3</v>
      </c>
      <c r="D90" s="4" t="s">
        <v>68</v>
      </c>
      <c r="E90">
        <v>0</v>
      </c>
      <c r="F90" s="1">
        <f>ABS(E90-B77)</f>
        <v>2.9999651948095649</v>
      </c>
    </row>
    <row r="91" spans="1:6" x14ac:dyDescent="0.25">
      <c r="A91" s="1">
        <v>21.727272727272727</v>
      </c>
      <c r="B91" s="1">
        <f t="shared" si="1"/>
        <v>5.6105405156822441E-3</v>
      </c>
      <c r="D91" s="4" t="s">
        <v>69</v>
      </c>
      <c r="E91" s="1">
        <f>B68</f>
        <v>50.2</v>
      </c>
      <c r="F91" s="1">
        <f>ABS(E91-B74)</f>
        <v>1.7795454545454561</v>
      </c>
    </row>
    <row r="92" spans="1:6" x14ac:dyDescent="0.25">
      <c r="A92" s="1">
        <v>29.090909090909093</v>
      </c>
      <c r="B92" s="1">
        <f t="shared" si="1"/>
        <v>1.0761754312546385E-2</v>
      </c>
      <c r="D92" s="4" t="s">
        <v>49</v>
      </c>
      <c r="E92" s="1">
        <f>B68</f>
        <v>50.2</v>
      </c>
      <c r="F92" s="1">
        <f>ABS(E92-B73)</f>
        <v>1.9579281183932409</v>
      </c>
    </row>
    <row r="93" spans="1:6" x14ac:dyDescent="0.25">
      <c r="A93" s="1">
        <v>36.454545454545453</v>
      </c>
      <c r="B93" s="1">
        <f t="shared" si="1"/>
        <v>1.7011325903198527E-2</v>
      </c>
      <c r="D93" s="4" t="s">
        <v>50</v>
      </c>
      <c r="E93" s="1">
        <f>B68</f>
        <v>50.2</v>
      </c>
      <c r="F93">
        <f>ABS(Table6[[#This Row],[Значения]]-B68)</f>
        <v>0</v>
      </c>
    </row>
    <row r="94" spans="1:6" x14ac:dyDescent="0.25">
      <c r="A94" s="1">
        <v>43.81818181818182</v>
      </c>
      <c r="B94" s="1">
        <f t="shared" si="1"/>
        <v>2.2160011349498784E-2</v>
      </c>
      <c r="D94" s="4" t="s">
        <v>72</v>
      </c>
      <c r="E94" s="1">
        <f>E72</f>
        <v>278.93072018890098</v>
      </c>
      <c r="F94">
        <f>ABS(Table6[[#This Row],[Значения]]-E72)</f>
        <v>0</v>
      </c>
    </row>
    <row r="95" spans="1:6" x14ac:dyDescent="0.25">
      <c r="A95" s="1">
        <v>51.18181818181818</v>
      </c>
      <c r="B95" s="1">
        <f t="shared" si="1"/>
        <v>2.3789127493457074E-2</v>
      </c>
    </row>
    <row r="96" spans="1:6" x14ac:dyDescent="0.25">
      <c r="A96" s="1">
        <v>58.54545454545454</v>
      </c>
      <c r="B96" s="1">
        <f t="shared" si="1"/>
        <v>2.1045719169624857E-2</v>
      </c>
    </row>
    <row r="97" spans="1:7" x14ac:dyDescent="0.25">
      <c r="A97" s="1">
        <v>65.909090909090907</v>
      </c>
      <c r="B97" s="1">
        <f t="shared" si="1"/>
        <v>1.5343546357798225E-2</v>
      </c>
    </row>
    <row r="98" spans="1:7" x14ac:dyDescent="0.25">
      <c r="A98" s="1">
        <v>73.272727272727252</v>
      </c>
      <c r="B98" s="1">
        <f t="shared" si="1"/>
        <v>9.2185889473796242E-3</v>
      </c>
    </row>
    <row r="99" spans="1:7" x14ac:dyDescent="0.25">
      <c r="A99" s="1">
        <v>80.636363636363626</v>
      </c>
      <c r="B99" s="1">
        <f t="shared" si="1"/>
        <v>4.5643598110628571E-3</v>
      </c>
    </row>
    <row r="100" spans="1:7" x14ac:dyDescent="0.25">
      <c r="A100" s="1">
        <v>87.999999999999972</v>
      </c>
      <c r="B100" s="1">
        <f t="shared" si="1"/>
        <v>1.8623959428649131E-3</v>
      </c>
    </row>
    <row r="103" spans="1:7" ht="15.75" x14ac:dyDescent="0.25">
      <c r="A103" s="8" t="s">
        <v>82</v>
      </c>
    </row>
    <row r="104" spans="1:7" x14ac:dyDescent="0.25">
      <c r="A104" t="s">
        <v>5</v>
      </c>
      <c r="B104" t="s">
        <v>45</v>
      </c>
      <c r="C104" t="s">
        <v>80</v>
      </c>
      <c r="E104" s="7" t="s">
        <v>57</v>
      </c>
      <c r="F104" s="7" t="s">
        <v>58</v>
      </c>
      <c r="G104" s="7" t="s">
        <v>59</v>
      </c>
    </row>
    <row r="105" spans="1:7" x14ac:dyDescent="0.25">
      <c r="A105" s="1">
        <v>7</v>
      </c>
      <c r="B105" s="1">
        <f>EXP(-(Table31214[[#This Row],[Значения x]]-$F$112)/$F$113)/($F$113*(1+EXP(-(Table31214[[#This Row],[Значения x]]-$F$112)/$F$113))^2)</f>
        <v>9.7804087520761873E-4</v>
      </c>
      <c r="C105" s="1">
        <v>1.2933568489124046E-3</v>
      </c>
      <c r="E105" s="4" t="s">
        <v>48</v>
      </c>
      <c r="F105">
        <v>0</v>
      </c>
      <c r="G105" s="1">
        <f>ABS(F105-$B$76)</f>
        <v>2.8276289248737417E-5</v>
      </c>
    </row>
    <row r="106" spans="1:7" x14ac:dyDescent="0.25">
      <c r="A106" s="1">
        <v>14.363636363636363</v>
      </c>
      <c r="B106" s="1">
        <f>EXP(-(Table31214[[#This Row],[Значения x]]-$F$112)/$F$113)/($F$113*(1+EXP(-(Table31214[[#This Row],[Значения x]]-$F$112)/$F$113))^2)</f>
        <v>2.1283912225640769E-3</v>
      </c>
      <c r="C106" s="1">
        <v>4.5267489711934162E-3</v>
      </c>
      <c r="E106" s="4" t="s">
        <v>68</v>
      </c>
      <c r="F106">
        <f>6/5</f>
        <v>1.2</v>
      </c>
      <c r="G106" s="1">
        <f>ABS(F106-$B$77)</f>
        <v>4.1999651948095647</v>
      </c>
    </row>
    <row r="107" spans="1:7" x14ac:dyDescent="0.25">
      <c r="A107" s="1">
        <v>21.727272727272727</v>
      </c>
      <c r="B107" s="1">
        <f>EXP(-(Table31214[[#This Row],[Значения x]]-$F$112)/$F$113)/($F$113*(1+EXP(-(Table31214[[#This Row],[Значения x]]-$F$112)/$F$113))^2)</f>
        <v>4.5117166357244902E-3</v>
      </c>
      <c r="C107" s="1">
        <v>3.8800705467372134E-3</v>
      </c>
      <c r="E107" s="4" t="s">
        <v>69</v>
      </c>
      <c r="F107" s="1">
        <f>F112</f>
        <v>50.2</v>
      </c>
      <c r="G107" s="1">
        <f>ABS(F107-$B$74)</f>
        <v>1.7795454545454561</v>
      </c>
    </row>
    <row r="108" spans="1:7" x14ac:dyDescent="0.25">
      <c r="A108" s="1">
        <v>29.090909090909093</v>
      </c>
      <c r="B108" s="1">
        <f>EXP(-(Table31214[[#This Row],[Значения x]]-$F$112)/$F$113)/($F$113*(1+EXP(-(Table31214[[#This Row],[Значения x]]-$F$112)/$F$113))^2)</f>
        <v>9.0496804000143576E-3</v>
      </c>
      <c r="C108" s="1">
        <v>8.4068195179306301E-3</v>
      </c>
      <c r="E108" s="4" t="s">
        <v>49</v>
      </c>
      <c r="F108" s="1">
        <f>F112</f>
        <v>50.2</v>
      </c>
      <c r="G108" s="1">
        <f>ABS(F108-$B$73)</f>
        <v>1.9579281183932409</v>
      </c>
    </row>
    <row r="109" spans="1:7" x14ac:dyDescent="0.25">
      <c r="A109" s="1">
        <v>36.454545454545453</v>
      </c>
      <c r="B109" s="1">
        <f>EXP(-(Table31214[[#This Row],[Значения x]]-$F$112)/$F$113)/($F$113*(1+EXP(-(Table31214[[#This Row],[Значения x]]-$F$112)/$F$113))^2)</f>
        <v>1.6271892426943886E-2</v>
      </c>
      <c r="C109" s="1">
        <v>1.8106995884773665E-2</v>
      </c>
      <c r="E109" s="4" t="s">
        <v>50</v>
      </c>
      <c r="F109" s="1">
        <f>F112</f>
        <v>50.2</v>
      </c>
      <c r="G109" s="1">
        <f>ABS(Table61315[[#This Row],[Значения]]-$B$68)</f>
        <v>0</v>
      </c>
    </row>
    <row r="110" spans="1:7" x14ac:dyDescent="0.25">
      <c r="A110" s="1">
        <v>43.81818181818182</v>
      </c>
      <c r="B110" s="1">
        <f>EXP(-(Table31214[[#This Row],[Значения x]]-$F$112)/$F$113)/($F$113*(1+EXP(-(Table31214[[#This Row],[Значения x]]-$F$112)/$F$113))^2)</f>
        <v>2.4134471334074901E-2</v>
      </c>
      <c r="C110" s="1">
        <v>2.3280423280423283E-2</v>
      </c>
      <c r="E110" s="4" t="s">
        <v>72</v>
      </c>
      <c r="F110" s="1">
        <f>PI()^2/3*F113^2</f>
        <v>278.93072018890103</v>
      </c>
      <c r="G110" s="1">
        <f>ABS(Table61315[[#This Row],[Значения]]-$E$72)</f>
        <v>5.6843418860808015E-14</v>
      </c>
    </row>
    <row r="111" spans="1:7" x14ac:dyDescent="0.25">
      <c r="A111" s="1">
        <v>51.18181818181818</v>
      </c>
      <c r="B111" s="1">
        <f>EXP(-(Table31214[[#This Row],[Значения x]]-$F$112)/$F$113)/($F$113*(1+EXP(-(Table31214[[#This Row],[Значения x]]-$F$112)/$F$113))^2)</f>
        <v>2.7073676059103425E-2</v>
      </c>
      <c r="C111" s="1">
        <v>2.3927101704879484E-2</v>
      </c>
    </row>
    <row r="112" spans="1:7" x14ac:dyDescent="0.25">
      <c r="A112" s="1">
        <v>58.54545454545454</v>
      </c>
      <c r="B112" s="1">
        <f>EXP(-(Table31214[[#This Row],[Значения x]]-$F$112)/$F$113)/($F$113*(1+EXP(-(Table31214[[#This Row],[Значения x]]-$F$112)/$F$113))^2)</f>
        <v>2.2258112108626799E-2</v>
      </c>
      <c r="C112" s="1">
        <v>1.9400352733686069E-2</v>
      </c>
      <c r="E112" t="s">
        <v>81</v>
      </c>
      <c r="F112" s="1">
        <f>B68</f>
        <v>50.2</v>
      </c>
    </row>
    <row r="113" spans="1:6" x14ac:dyDescent="0.25">
      <c r="A113" s="1">
        <v>65.909090909090907</v>
      </c>
      <c r="B113" s="1">
        <f>EXP(-(Table31214[[#This Row],[Значения x]]-$F$112)/$F$113)/($F$113*(1+EXP(-(Table31214[[#This Row],[Значения x]]-$F$112)/$F$113))^2)</f>
        <v>1.4124890079713326E-2</v>
      </c>
      <c r="C113" s="1">
        <v>1.4226925338036451E-2</v>
      </c>
      <c r="E113" t="s">
        <v>83</v>
      </c>
      <c r="F113" s="1">
        <f>SQRT(E72/PI()^2*3)</f>
        <v>9.2078646911891315</v>
      </c>
    </row>
    <row r="114" spans="1:6" x14ac:dyDescent="0.25">
      <c r="A114" s="1">
        <v>73.272727272727252</v>
      </c>
      <c r="B114" s="1">
        <f>EXP(-(Table31214[[#This Row],[Значения x]]-$F$112)/$F$113)/($F$113*(1+EXP(-(Table31214[[#This Row],[Значения x]]-$F$112)/$F$113))^2)</f>
        <v>7.5763139374421121E-3</v>
      </c>
      <c r="C114" s="1">
        <v>1.2286890064667844E-2</v>
      </c>
    </row>
    <row r="115" spans="1:6" x14ac:dyDescent="0.25">
      <c r="A115" s="1">
        <v>80.636363636363626</v>
      </c>
      <c r="B115" s="1">
        <f>EXP(-(Table31214[[#This Row],[Значения x]]-$F$112)/$F$113)/($F$113*(1+EXP(-(Table31214[[#This Row],[Значения x]]-$F$112)/$F$113))^2)</f>
        <v>3.7068132883890793E-3</v>
      </c>
      <c r="C115" s="1">
        <v>4.5267489711934162E-3</v>
      </c>
    </row>
    <row r="116" spans="1:6" x14ac:dyDescent="0.25">
      <c r="A116" s="1">
        <v>87.999999999999972</v>
      </c>
      <c r="B116" s="1">
        <f>EXP(-(Table31214[[#This Row],[Значения x]]-$F$112)/$F$113)/($F$113*(1+EXP(-(Table31214[[#This Row],[Значения x]]-$F$112)/$F$113))^2)</f>
        <v>1.7329167555602879E-3</v>
      </c>
      <c r="C116" s="1">
        <v>1.9400352733686067E-3</v>
      </c>
    </row>
    <row r="136" spans="1:3" ht="18.75" x14ac:dyDescent="0.3">
      <c r="A136" s="2" t="s">
        <v>86</v>
      </c>
    </row>
    <row r="137" spans="1:3" ht="15.75" x14ac:dyDescent="0.25">
      <c r="A137" s="14" t="s">
        <v>123</v>
      </c>
    </row>
    <row r="138" spans="1:3" x14ac:dyDescent="0.25">
      <c r="A138" t="s">
        <v>90</v>
      </c>
    </row>
    <row r="139" spans="1:3" x14ac:dyDescent="0.25">
      <c r="A139" t="s">
        <v>96</v>
      </c>
      <c r="B139">
        <v>0.05</v>
      </c>
    </row>
    <row r="141" spans="1:3" x14ac:dyDescent="0.25">
      <c r="A141" s="16" t="s">
        <v>124</v>
      </c>
    </row>
    <row r="142" spans="1:3" x14ac:dyDescent="0.25">
      <c r="A142" t="s">
        <v>125</v>
      </c>
      <c r="B142">
        <f>1.96</f>
        <v>1.96</v>
      </c>
    </row>
    <row r="143" spans="1:3" x14ac:dyDescent="0.25">
      <c r="A143" t="s">
        <v>126</v>
      </c>
      <c r="B143" s="1">
        <f>$B$68-$B$142*SQRT($B$75/$E$36)</f>
        <v>47.935714933033715</v>
      </c>
      <c r="C143" s="1">
        <f>$B$68+$B$142*SQRT($B$75/$E$36)</f>
        <v>52.464285066966291</v>
      </c>
    </row>
    <row r="145" spans="1:3" x14ac:dyDescent="0.25">
      <c r="A145" s="16" t="s">
        <v>44</v>
      </c>
    </row>
    <row r="146" spans="1:3" x14ac:dyDescent="0.25">
      <c r="A146" t="s">
        <v>126</v>
      </c>
      <c r="B146" s="1">
        <f>(($E$36-1)*$B$75)/_xlfn.CHISQ.INV.RT($B$202/2, $E$36-1)</f>
        <v>233.43252331607772</v>
      </c>
      <c r="C146" s="1">
        <f>(($E$36-1)*$B$75)/_xlfn.CHISQ.INV.RT(1-$B$202/2, $E$36-1)</f>
        <v>342.83717086241006</v>
      </c>
    </row>
    <row r="148" spans="1:3" x14ac:dyDescent="0.25">
      <c r="A148" t="s">
        <v>100</v>
      </c>
    </row>
    <row r="149" spans="1:3" x14ac:dyDescent="0.25">
      <c r="A149" t="s">
        <v>5</v>
      </c>
      <c r="B149" s="13" t="s">
        <v>80</v>
      </c>
      <c r="C149" t="s">
        <v>101</v>
      </c>
    </row>
    <row r="150" spans="1:3" x14ac:dyDescent="0.25">
      <c r="A150" s="1">
        <v>7</v>
      </c>
      <c r="B150" s="1">
        <v>2</v>
      </c>
      <c r="C150" s="1">
        <f t="shared" ref="C150:C161" si="2">1/(SQRT(2*PI()*$B$75))*EXP(-((A150-$B$68)^2)/(2*$B$75))*$E$36*$B$20</f>
        <v>1.3197441828318446</v>
      </c>
    </row>
    <row r="151" spans="1:3" x14ac:dyDescent="0.25">
      <c r="A151" s="1">
        <v>14.363636363636363</v>
      </c>
      <c r="B151" s="1">
        <v>7</v>
      </c>
      <c r="C151" s="1">
        <f t="shared" si="2"/>
        <v>3.727474516456875</v>
      </c>
    </row>
    <row r="152" spans="1:3" x14ac:dyDescent="0.25">
      <c r="A152" s="1">
        <v>21.727272727272727</v>
      </c>
      <c r="B152" s="1">
        <v>6</v>
      </c>
      <c r="C152" s="1">
        <f t="shared" si="2"/>
        <v>8.675935833795906</v>
      </c>
    </row>
    <row r="153" spans="1:3" x14ac:dyDescent="0.25">
      <c r="A153" s="1">
        <v>29.090909090909093</v>
      </c>
      <c r="B153" s="1">
        <v>13</v>
      </c>
      <c r="C153" s="1">
        <f t="shared" si="2"/>
        <v>16.641585532401272</v>
      </c>
    </row>
    <row r="154" spans="1:3" x14ac:dyDescent="0.25">
      <c r="A154" s="1">
        <v>36.454545454545453</v>
      </c>
      <c r="B154" s="1">
        <v>28</v>
      </c>
      <c r="C154" s="1">
        <f t="shared" si="2"/>
        <v>26.305695783036995</v>
      </c>
    </row>
    <row r="155" spans="1:3" x14ac:dyDescent="0.25">
      <c r="A155" s="1">
        <v>43.81818181818182</v>
      </c>
      <c r="B155" s="1">
        <v>36</v>
      </c>
      <c r="C155" s="1">
        <f t="shared" si="2"/>
        <v>34.267435732270393</v>
      </c>
    </row>
    <row r="156" spans="1:3" x14ac:dyDescent="0.25">
      <c r="A156" s="1">
        <v>51.18181818181818</v>
      </c>
      <c r="B156" s="1">
        <v>37</v>
      </c>
      <c r="C156" s="1">
        <f t="shared" si="2"/>
        <v>36.786641696700435</v>
      </c>
    </row>
    <row r="157" spans="1:3" x14ac:dyDescent="0.25">
      <c r="A157" s="1">
        <v>58.54545454545454</v>
      </c>
      <c r="B157" s="1">
        <v>30</v>
      </c>
      <c r="C157" s="1">
        <f t="shared" si="2"/>
        <v>32.544334825028983</v>
      </c>
    </row>
    <row r="158" spans="1:3" x14ac:dyDescent="0.25">
      <c r="A158" s="1">
        <v>65.909090909090907</v>
      </c>
      <c r="B158" s="1">
        <v>22</v>
      </c>
      <c r="C158" s="1">
        <f t="shared" si="2"/>
        <v>23.726702140558892</v>
      </c>
    </row>
    <row r="159" spans="1:3" x14ac:dyDescent="0.25">
      <c r="A159" s="1">
        <v>73.272727272727252</v>
      </c>
      <c r="B159" s="1">
        <v>19</v>
      </c>
      <c r="C159" s="1">
        <f t="shared" si="2"/>
        <v>14.255290726811582</v>
      </c>
    </row>
    <row r="160" spans="1:3" x14ac:dyDescent="0.25">
      <c r="A160" s="1">
        <v>80.636363636363626</v>
      </c>
      <c r="B160" s="1">
        <v>7</v>
      </c>
      <c r="C160" s="1">
        <f t="shared" si="2"/>
        <v>7.0581600351071998</v>
      </c>
    </row>
    <row r="161" spans="1:3" x14ac:dyDescent="0.25">
      <c r="A161" s="1">
        <v>87.999999999999972</v>
      </c>
      <c r="B161" s="1">
        <v>3</v>
      </c>
      <c r="C161" s="1">
        <f t="shared" si="2"/>
        <v>2.8799413625574699</v>
      </c>
    </row>
    <row r="182" spans="1:7" x14ac:dyDescent="0.25">
      <c r="A182" t="s">
        <v>129</v>
      </c>
    </row>
    <row r="183" spans="1:7" x14ac:dyDescent="0.25">
      <c r="A183" t="s">
        <v>134</v>
      </c>
    </row>
    <row r="184" spans="1:7" x14ac:dyDescent="0.25">
      <c r="A184" t="s">
        <v>38</v>
      </c>
      <c r="B184" t="s">
        <v>39</v>
      </c>
      <c r="C184" t="s">
        <v>7</v>
      </c>
      <c r="D184" t="s">
        <v>130</v>
      </c>
      <c r="E184" t="s">
        <v>131</v>
      </c>
      <c r="F184" s="4" t="s">
        <v>132</v>
      </c>
      <c r="G184" s="4" t="s">
        <v>133</v>
      </c>
    </row>
    <row r="185" spans="1:7" x14ac:dyDescent="0.25">
      <c r="A185" s="1">
        <v>3.3181818181818183</v>
      </c>
      <c r="B185" s="1">
        <v>10.681818181818182</v>
      </c>
      <c r="C185">
        <v>2</v>
      </c>
      <c r="D185" s="1">
        <f t="shared" ref="D185:D187" si="3">1/2*(1+ERF((A185-$B$68)/(SQRT(2*$E$72))))*$E$36</f>
        <v>0.52490904511870551</v>
      </c>
      <c r="E185" s="1">
        <f t="shared" ref="E185:E196" si="4">1/2*(1+ERF((B185-$B$68)/(SQRT(2*$E$72))))*$E$36</f>
        <v>1.887106082382199</v>
      </c>
      <c r="F185" s="1">
        <f>ABS(Table15[[#This Row],[Распределение начало]]-Table15[[#This Row],[Накопленные частоты]])</f>
        <v>1.4750909548812945</v>
      </c>
      <c r="G185" s="1">
        <f>ABS(Table15[[#This Row],[Распределение конец]]-Table15[[#This Row],[Накопленные частоты]])</f>
        <v>0.11289391761780099</v>
      </c>
    </row>
    <row r="186" spans="1:7" x14ac:dyDescent="0.25">
      <c r="A186" s="1">
        <v>10.681818181818182</v>
      </c>
      <c r="B186" s="1">
        <v>18.045454545454547</v>
      </c>
      <c r="C186">
        <v>9</v>
      </c>
      <c r="D186" s="1">
        <f t="shared" si="3"/>
        <v>1.887106082382199</v>
      </c>
      <c r="E186" s="1">
        <f t="shared" si="4"/>
        <v>5.6903879953665433</v>
      </c>
      <c r="F186" s="1">
        <f>ABS(Table15[[#This Row],[Распределение начало]]-Table15[[#This Row],[Накопленные частоты]])</f>
        <v>7.112893917617801</v>
      </c>
      <c r="G186" s="1">
        <f>ABS(Table15[[#This Row],[Распределение конец]]-Table15[[#This Row],[Накопленные частоты]])</f>
        <v>3.3096120046334567</v>
      </c>
    </row>
    <row r="187" spans="1:7" x14ac:dyDescent="0.25">
      <c r="A187" s="1">
        <v>18.045454545454547</v>
      </c>
      <c r="B187" s="1">
        <v>25.40909090909091</v>
      </c>
      <c r="C187">
        <v>15</v>
      </c>
      <c r="D187" s="1">
        <f t="shared" si="3"/>
        <v>5.6903879953665433</v>
      </c>
      <c r="E187" s="1">
        <f t="shared" si="4"/>
        <v>14.459432042262787</v>
      </c>
      <c r="F187" s="1">
        <f>ABS(Table15[[#This Row],[Распределение начало]]-Table15[[#This Row],[Накопленные частоты]])</f>
        <v>9.3096120046334576</v>
      </c>
      <c r="G187" s="1">
        <f>ABS(Table15[[#This Row],[Распределение конец]]-Table15[[#This Row],[Накопленные частоты]])</f>
        <v>0.54056795773721333</v>
      </c>
    </row>
    <row r="188" spans="1:7" x14ac:dyDescent="0.25">
      <c r="A188" s="1">
        <v>25.40909090909091</v>
      </c>
      <c r="B188" s="1">
        <v>32.772727272727273</v>
      </c>
      <c r="C188">
        <v>28</v>
      </c>
      <c r="D188" s="1">
        <f t="shared" ref="D188:D196" si="5">1/2*(1+ERF((A188-$B$68)/(SQRT(2*$E$72))))*$E$36</f>
        <v>14.459432042262787</v>
      </c>
      <c r="E188" s="1">
        <f t="shared" si="4"/>
        <v>31.156569952969853</v>
      </c>
      <c r="F188" s="1">
        <f>ABS(Table15[[#This Row],[Распределение начало]]-Table15[[#This Row],[Накопленные частоты]])</f>
        <v>13.540567957737213</v>
      </c>
      <c r="G188" s="1">
        <f>ABS(Table15[[#This Row],[Распределение конец]]-Table15[[#This Row],[Накопленные частоты]])</f>
        <v>3.1565699529698534</v>
      </c>
    </row>
    <row r="189" spans="1:7" x14ac:dyDescent="0.25">
      <c r="A189" s="1">
        <v>32.772727272727273</v>
      </c>
      <c r="B189" s="1">
        <v>40.13636363636364</v>
      </c>
      <c r="C189">
        <v>56</v>
      </c>
      <c r="D189" s="1">
        <f t="shared" si="5"/>
        <v>31.156569952969853</v>
      </c>
      <c r="E189" s="1">
        <f t="shared" si="4"/>
        <v>57.413524330030839</v>
      </c>
      <c r="F189" s="1">
        <f>ABS(Table15[[#This Row],[Распределение начало]]-Table15[[#This Row],[Накопленные частоты]])</f>
        <v>24.843430047030147</v>
      </c>
      <c r="G189" s="1">
        <f>ABS(Table15[[#This Row],[Распределение конец]]-Table15[[#This Row],[Накопленные частоты]])</f>
        <v>1.4135243300308389</v>
      </c>
    </row>
    <row r="190" spans="1:7" x14ac:dyDescent="0.25">
      <c r="A190" s="1">
        <v>40.13636363636364</v>
      </c>
      <c r="B190" s="1">
        <v>47.5</v>
      </c>
      <c r="C190">
        <v>92</v>
      </c>
      <c r="D190" s="1">
        <f t="shared" si="5"/>
        <v>57.413524330030839</v>
      </c>
      <c r="E190" s="1">
        <f t="shared" si="4"/>
        <v>91.514827946908952</v>
      </c>
      <c r="F190" s="1">
        <f>ABS(Table15[[#This Row],[Распределение начало]]-Table15[[#This Row],[Накопленные частоты]])</f>
        <v>34.586475669969161</v>
      </c>
      <c r="G190" s="1">
        <f>ABS(Table15[[#This Row],[Распределение конец]]-Table15[[#This Row],[Накопленные частоты]])</f>
        <v>0.48517205309104838</v>
      </c>
    </row>
    <row r="191" spans="1:7" x14ac:dyDescent="0.25">
      <c r="A191" s="1">
        <v>47.5</v>
      </c>
      <c r="B191" s="1">
        <v>54.86363636363636</v>
      </c>
      <c r="C191">
        <v>129</v>
      </c>
      <c r="D191" s="1">
        <f t="shared" si="5"/>
        <v>91.514827946908952</v>
      </c>
      <c r="E191" s="1">
        <f t="shared" si="4"/>
        <v>128.09357371030765</v>
      </c>
      <c r="F191" s="1">
        <f>ABS(Table15[[#This Row],[Распределение начало]]-Table15[[#This Row],[Накопленные частоты]])</f>
        <v>37.485172053091048</v>
      </c>
      <c r="G191" s="1">
        <f>ABS(Table15[[#This Row],[Распределение конец]]-Table15[[#This Row],[Накопленные частоты]])</f>
        <v>0.90642628969234806</v>
      </c>
    </row>
    <row r="192" spans="1:7" x14ac:dyDescent="0.25">
      <c r="A192" s="1">
        <v>54.86363636363636</v>
      </c>
      <c r="B192" s="1">
        <v>62.22727272727272</v>
      </c>
      <c r="C192">
        <v>159</v>
      </c>
      <c r="D192" s="1">
        <f t="shared" si="5"/>
        <v>128.09357371030765</v>
      </c>
      <c r="E192" s="1">
        <f t="shared" si="4"/>
        <v>160.49914563613464</v>
      </c>
      <c r="F192" s="1">
        <f>ABS(Table15[[#This Row],[Распределение начало]]-Table15[[#This Row],[Накопленные частоты]])</f>
        <v>30.906426289692348</v>
      </c>
      <c r="G192" s="1">
        <f>ABS(Table15[[#This Row],[Распределение конец]]-Table15[[#This Row],[Накопленные частоты]])</f>
        <v>1.4991456361346422</v>
      </c>
    </row>
    <row r="193" spans="1:7" x14ac:dyDescent="0.25">
      <c r="A193" s="1">
        <v>62.22727272727272</v>
      </c>
      <c r="B193" s="1">
        <v>69.590909090909079</v>
      </c>
      <c r="C193">
        <v>181</v>
      </c>
      <c r="D193" s="1">
        <f t="shared" si="5"/>
        <v>160.49914563613464</v>
      </c>
      <c r="E193" s="1">
        <f t="shared" si="4"/>
        <v>184.20962974678591</v>
      </c>
      <c r="F193" s="1">
        <f>ABS(Table15[[#This Row],[Распределение начало]]-Table15[[#This Row],[Накопленные частоты]])</f>
        <v>20.500854363865358</v>
      </c>
      <c r="G193" s="1">
        <f>ABS(Table15[[#This Row],[Распределение конец]]-Table15[[#This Row],[Накопленные частоты]])</f>
        <v>3.2096297467859074</v>
      </c>
    </row>
    <row r="194" spans="1:7" x14ac:dyDescent="0.25">
      <c r="A194" s="1">
        <v>69.590909090909079</v>
      </c>
      <c r="B194" s="1">
        <v>76.954545454545439</v>
      </c>
      <c r="C194">
        <v>200</v>
      </c>
      <c r="D194" s="1">
        <f t="shared" si="5"/>
        <v>184.20962974678591</v>
      </c>
      <c r="E194" s="1">
        <f t="shared" si="4"/>
        <v>198.53753821951153</v>
      </c>
      <c r="F194" s="1">
        <f>ABS(Table15[[#This Row],[Распределение начало]]-Table15[[#This Row],[Накопленные частоты]])</f>
        <v>15.790370253214093</v>
      </c>
      <c r="G194" s="1">
        <f>ABS(Table15[[#This Row],[Распределение конец]]-Table15[[#This Row],[Накопленные частоты]])</f>
        <v>1.4624617804884679</v>
      </c>
    </row>
    <row r="195" spans="1:7" x14ac:dyDescent="0.25">
      <c r="A195" s="1">
        <v>76.954545454545439</v>
      </c>
      <c r="B195" s="1">
        <v>84.318181818181799</v>
      </c>
      <c r="C195">
        <v>207</v>
      </c>
      <c r="D195" s="1">
        <f t="shared" si="5"/>
        <v>198.53753821951153</v>
      </c>
      <c r="E195" s="1">
        <f t="shared" si="4"/>
        <v>205.68799460582608</v>
      </c>
      <c r="F195" s="1">
        <f>ABS(Table15[[#This Row],[Распределение начало]]-Table15[[#This Row],[Накопленные частоты]])</f>
        <v>8.4624617804884679</v>
      </c>
      <c r="G195" s="1">
        <f>ABS(Table15[[#This Row],[Распределение конец]]-Table15[[#This Row],[Накопленные частоты]])</f>
        <v>1.3120053941739229</v>
      </c>
    </row>
    <row r="196" spans="1:7" x14ac:dyDescent="0.25">
      <c r="A196" s="1">
        <v>84.318181818181799</v>
      </c>
      <c r="B196" s="1">
        <v>91.681818181818159</v>
      </c>
      <c r="C196">
        <v>210</v>
      </c>
      <c r="D196" s="1">
        <f t="shared" si="5"/>
        <v>205.68799460582608</v>
      </c>
      <c r="E196" s="1">
        <f t="shared" si="4"/>
        <v>208.63496396052804</v>
      </c>
      <c r="F196" s="1">
        <f>ABS(Table15[[#This Row],[Распределение начало]]-Table15[[#This Row],[Накопленные частоты]])</f>
        <v>4.3120053941739229</v>
      </c>
      <c r="G196" s="1">
        <f>ABS(Table15[[#This Row],[Распределение конец]]-Table15[[#This Row],[Накопленные частоты]])</f>
        <v>1.3650360394719598</v>
      </c>
    </row>
    <row r="197" spans="1:7" x14ac:dyDescent="0.25">
      <c r="A197" s="1"/>
      <c r="B197" s="1"/>
      <c r="C197" s="1"/>
      <c r="D197" s="1"/>
      <c r="E197" s="1"/>
      <c r="F197" s="1"/>
      <c r="G197" s="1">
        <f>MAX(Table15[[Разность начало]:[Разность конец]])/SQRT($E$36)</f>
        <v>2.5867226219860662</v>
      </c>
    </row>
    <row r="198" spans="1:7" x14ac:dyDescent="0.25">
      <c r="A198" t="s">
        <v>139</v>
      </c>
      <c r="F198" t="s">
        <v>142</v>
      </c>
      <c r="G198">
        <v>1.3580000000000001</v>
      </c>
    </row>
    <row r="200" spans="1:7" x14ac:dyDescent="0.25">
      <c r="A200" s="17" t="s">
        <v>127</v>
      </c>
    </row>
    <row r="201" spans="1:7" x14ac:dyDescent="0.25">
      <c r="A201" t="s">
        <v>90</v>
      </c>
    </row>
    <row r="202" spans="1:7" x14ac:dyDescent="0.25">
      <c r="A202" t="s">
        <v>96</v>
      </c>
      <c r="B202">
        <v>0.05</v>
      </c>
    </row>
    <row r="204" spans="1:7" x14ac:dyDescent="0.25">
      <c r="A204" s="16" t="s">
        <v>124</v>
      </c>
    </row>
    <row r="205" spans="1:7" x14ac:dyDescent="0.25">
      <c r="A205" t="s">
        <v>125</v>
      </c>
      <c r="B205">
        <f>1.96</f>
        <v>1.96</v>
      </c>
    </row>
    <row r="206" spans="1:7" x14ac:dyDescent="0.25">
      <c r="A206" t="s">
        <v>126</v>
      </c>
      <c r="B206" s="1">
        <f>$B$68-$B$142*SQRT($B$75/$E$36)</f>
        <v>47.935714933033715</v>
      </c>
      <c r="C206" s="1">
        <f>$B$68+$B$142*SQRT($B$75/$E$36)</f>
        <v>52.464285066966291</v>
      </c>
    </row>
    <row r="208" spans="1:7" x14ac:dyDescent="0.25">
      <c r="A208" s="16" t="s">
        <v>44</v>
      </c>
    </row>
    <row r="209" spans="1:4" x14ac:dyDescent="0.25">
      <c r="A209" t="s">
        <v>126</v>
      </c>
      <c r="B209" s="1">
        <f>SQRT((($E$36-1)*$B$75)/_xlfn.CHISQ.INV.RT($B$202/2, $E$36-1)/((PI()^2)/3))</f>
        <v>8.4234778262311476</v>
      </c>
      <c r="C209" s="1">
        <f>SQRT((($E$36-1)*$B$75)/_xlfn.CHISQ.INV.RT(1-$B$202/2, $E$36-1)/((PI()^2)/3))</f>
        <v>10.20833012030417</v>
      </c>
    </row>
    <row r="211" spans="1:4" x14ac:dyDescent="0.25">
      <c r="A211" t="s">
        <v>100</v>
      </c>
    </row>
    <row r="212" spans="1:4" x14ac:dyDescent="0.25">
      <c r="A212" s="7" t="s">
        <v>5</v>
      </c>
      <c r="B212" s="7" t="s">
        <v>80</v>
      </c>
      <c r="C212" s="7" t="s">
        <v>101</v>
      </c>
      <c r="D212" s="7" t="s">
        <v>128</v>
      </c>
    </row>
    <row r="213" spans="1:4" x14ac:dyDescent="0.25">
      <c r="A213" s="9">
        <v>7</v>
      </c>
      <c r="B213" s="9">
        <v>2</v>
      </c>
      <c r="C213" s="1">
        <f>EXP(-(Table10[[#This Row],[Значения x]]-$F$112)/$F$113)/($F$113*(1+EXP(-(Table10[[#This Row],[Значения x]]-$F$112)/$F$113))^2)*$E$36*$B$20</f>
        <v>1.5124068442983267</v>
      </c>
      <c r="D213" s="9">
        <f>ABS(Table10[[#This Row],[Теоретические n]]-Table10[[#This Row],[Частоты выборки]])/SQRT($E$36)</f>
        <v>3.3647124372077876E-2</v>
      </c>
    </row>
    <row r="214" spans="1:4" x14ac:dyDescent="0.25">
      <c r="A214" s="1">
        <v>14.363636363636363</v>
      </c>
      <c r="B214" s="1">
        <v>7</v>
      </c>
      <c r="C214" s="1">
        <f>EXP(-(Table10[[#This Row],[Значения x]]-$F$112)/$F$113)/($F$113*(1+EXP(-(Table10[[#This Row],[Значения x]]-$F$112)/$F$113))^2)*$E$36*$B$20</f>
        <v>3.2912667905286312</v>
      </c>
      <c r="D214" s="1">
        <f>ABS(Table10[[#This Row],[Теоретические n]]-Table10[[#This Row],[Частоты выборки]])/SQRT($E$36)</f>
        <v>0.25592690566454246</v>
      </c>
    </row>
    <row r="215" spans="1:4" x14ac:dyDescent="0.25">
      <c r="A215" s="9">
        <v>21.727272727272727</v>
      </c>
      <c r="B215" s="9">
        <v>6</v>
      </c>
      <c r="C215" s="1">
        <f>EXP(-(Table10[[#This Row],[Значения x]]-$F$112)/$F$113)/($F$113*(1+EXP(-(Table10[[#This Row],[Значения x]]-$F$112)/$F$113))^2)*$E$36*$B$20</f>
        <v>6.9767545430612339</v>
      </c>
      <c r="D215" s="9">
        <f>ABS(Table10[[#This Row],[Теоретические n]]-Table10[[#This Row],[Частоты выборки]])/SQRT($E$36)</f>
        <v>6.7402467009773592E-2</v>
      </c>
    </row>
    <row r="216" spans="1:4" x14ac:dyDescent="0.25">
      <c r="A216" s="1">
        <v>29.090909090909093</v>
      </c>
      <c r="B216" s="1">
        <v>13</v>
      </c>
      <c r="C216" s="1">
        <f>EXP(-(Table10[[#This Row],[Значения x]]-$F$112)/$F$113)/($F$113*(1+EXP(-(Table10[[#This Row],[Значения x]]-$F$112)/$F$113))^2)*$E$36*$B$20</f>
        <v>13.99409669129493</v>
      </c>
      <c r="D216" s="1">
        <f>ABS(Table10[[#This Row],[Теоретические n]]-Table10[[#This Row],[Частоты выборки]])/SQRT($E$36)</f>
        <v>6.8599188931881924E-2</v>
      </c>
    </row>
    <row r="217" spans="1:4" x14ac:dyDescent="0.25">
      <c r="A217" s="9">
        <v>36.454545454545453</v>
      </c>
      <c r="B217" s="9">
        <v>28</v>
      </c>
      <c r="C217" s="1">
        <f>EXP(-(Table10[[#This Row],[Значения x]]-$F$112)/$F$113)/($F$113*(1+EXP(-(Table10[[#This Row],[Значения x]]-$F$112)/$F$113))^2)*$E$36*$B$20</f>
        <v>25.162262743846863</v>
      </c>
      <c r="D217" s="9">
        <f>ABS(Table10[[#This Row],[Теоретические n]]-Table10[[#This Row],[Частоты выборки]])/SQRT($E$36)</f>
        <v>0.19582247469339517</v>
      </c>
    </row>
    <row r="218" spans="1:4" x14ac:dyDescent="0.25">
      <c r="A218" s="1">
        <v>43.81818181818182</v>
      </c>
      <c r="B218" s="1">
        <v>36</v>
      </c>
      <c r="C218" s="1">
        <f>EXP(-(Table10[[#This Row],[Значения x]]-$F$112)/$F$113)/($F$113*(1+EXP(-(Table10[[#This Row],[Значения x]]-$F$112)/$F$113))^2)*$E$36*$B$20</f>
        <v>37.320668853874004</v>
      </c>
      <c r="D218" s="1">
        <f>ABS(Table10[[#This Row],[Теоретические n]]-Table10[[#This Row],[Частоты выборки]])/SQRT($E$36)</f>
        <v>9.1134809135459044E-2</v>
      </c>
    </row>
    <row r="219" spans="1:4" x14ac:dyDescent="0.25">
      <c r="A219" s="9">
        <v>51.18181818181818</v>
      </c>
      <c r="B219" s="9">
        <v>37</v>
      </c>
      <c r="C219" s="1">
        <f>EXP(-(Table10[[#This Row],[Значения x]]-$F$112)/$F$113)/($F$113*(1+EXP(-(Table10[[#This Row],[Значения x]]-$F$112)/$F$113))^2)*$E$36*$B$20</f>
        <v>41.865748160486291</v>
      </c>
      <c r="D219" s="9">
        <f>ABS(Table10[[#This Row],[Теоретические n]]-Table10[[#This Row],[Частоты выборки]])/SQRT($E$36)</f>
        <v>0.33576852259850037</v>
      </c>
    </row>
    <row r="220" spans="1:4" x14ac:dyDescent="0.25">
      <c r="A220" s="1">
        <v>58.54545454545454</v>
      </c>
      <c r="B220" s="1">
        <v>30</v>
      </c>
      <c r="C220" s="1">
        <f>EXP(-(Table10[[#This Row],[Значения x]]-$F$112)/$F$113)/($F$113*(1+EXP(-(Table10[[#This Row],[Значения x]]-$F$112)/$F$113))^2)*$E$36*$B$20</f>
        <v>34.419135178885625</v>
      </c>
      <c r="D220" s="1">
        <f>ABS(Table10[[#This Row],[Теоретические n]]-Table10[[#This Row],[Частоты выборки]])/SQRT($E$36)</f>
        <v>0.30494929890271838</v>
      </c>
    </row>
    <row r="221" spans="1:4" x14ac:dyDescent="0.25">
      <c r="A221" s="9">
        <v>65.909090909090907</v>
      </c>
      <c r="B221" s="9">
        <v>22</v>
      </c>
      <c r="C221" s="1">
        <f>EXP(-(Table10[[#This Row],[Значения x]]-$F$112)/$F$113)/($F$113*(1+EXP(-(Table10[[#This Row],[Значения x]]-$F$112)/$F$113))^2)*$E$36*$B$20</f>
        <v>21.842216386902152</v>
      </c>
      <c r="D221" s="9">
        <f>ABS(Table10[[#This Row],[Теоретические n]]-Table10[[#This Row],[Частоты выборки]])/SQRT($E$36)</f>
        <v>1.0888103722742428E-2</v>
      </c>
    </row>
    <row r="222" spans="1:4" x14ac:dyDescent="0.25">
      <c r="A222" s="1">
        <v>73.272727272727252</v>
      </c>
      <c r="B222" s="1">
        <v>19</v>
      </c>
      <c r="C222" s="1">
        <f>EXP(-(Table10[[#This Row],[Значения x]]-$F$112)/$F$113)/($F$113*(1+EXP(-(Table10[[#This Row],[Значения x]]-$F$112)/$F$113))^2)*$E$36*$B$20</f>
        <v>11.715736370535483</v>
      </c>
      <c r="D222" s="1">
        <f>ABS(Table10[[#This Row],[Теоретические n]]-Table10[[#This Row],[Частоты выборки]])/SQRT($E$36)</f>
        <v>0.5026619455863599</v>
      </c>
    </row>
    <row r="223" spans="1:4" x14ac:dyDescent="0.25">
      <c r="A223" s="9">
        <v>80.636363636363626</v>
      </c>
      <c r="B223" s="9">
        <v>7</v>
      </c>
      <c r="C223" s="1">
        <f>EXP(-(Table10[[#This Row],[Значения x]]-$F$112)/$F$113)/($F$113*(1+EXP(-(Table10[[#This Row],[Значения x]]-$F$112)/$F$113))^2)*$E$36*$B$20</f>
        <v>5.7320812759543847</v>
      </c>
      <c r="D223" s="9">
        <f>ABS(Table10[[#This Row],[Теоретические n]]-Table10[[#This Row],[Частоты выборки]])/SQRT($E$36)</f>
        <v>8.7494704350918162E-2</v>
      </c>
    </row>
    <row r="224" spans="1:4" x14ac:dyDescent="0.25">
      <c r="A224" s="1">
        <v>87.999999999999972</v>
      </c>
      <c r="B224" s="1">
        <v>3</v>
      </c>
      <c r="C224" s="1">
        <f>EXP(-(Table10[[#This Row],[Значения x]]-$F$112)/$F$113)/($F$113*(1+EXP(-(Table10[[#This Row],[Значения x]]-$F$112)/$F$113))^2)*$E$36*$B$20</f>
        <v>2.6797194556436814</v>
      </c>
      <c r="D224" s="1">
        <f>ABS(Table10[[#This Row],[Теоретические n]]-Table10[[#This Row],[Частоты выборки]])/SQRT($E$36)</f>
        <v>2.2101457298771669E-2</v>
      </c>
    </row>
    <row r="247" spans="1:7" x14ac:dyDescent="0.25">
      <c r="A247" t="s">
        <v>129</v>
      </c>
    </row>
    <row r="248" spans="1:7" x14ac:dyDescent="0.25">
      <c r="A248" t="s">
        <v>38</v>
      </c>
      <c r="B248" t="s">
        <v>39</v>
      </c>
      <c r="C248" t="s">
        <v>7</v>
      </c>
      <c r="D248" t="s">
        <v>130</v>
      </c>
      <c r="E248" t="s">
        <v>131</v>
      </c>
      <c r="F248" s="4" t="s">
        <v>132</v>
      </c>
      <c r="G248" s="4" t="s">
        <v>133</v>
      </c>
    </row>
    <row r="249" spans="1:7" x14ac:dyDescent="0.25">
      <c r="A249" s="1">
        <v>3.3181818181818183</v>
      </c>
      <c r="B249" s="1">
        <v>10.681818181818182</v>
      </c>
      <c r="C249">
        <v>2</v>
      </c>
      <c r="D249" s="1">
        <f>$E$36/(1+EXP(-(Table1517[[#This Row],[Начало интервала]]-$F$112)/$F$113))</f>
        <v>1.2833582237552421</v>
      </c>
      <c r="E249" s="1">
        <f>$E$36/(1+EXP(-(Table1517[[#This Row],[Конец интервала]]-$F$112)/$F$113))</f>
        <v>2.8341274437472759</v>
      </c>
      <c r="F249" s="1">
        <f>ABS(Table1517[[#This Row],[Распределение начало]]-Table1517[[#This Row],[Накопленные частоты]])</f>
        <v>0.71664177624475789</v>
      </c>
      <c r="G249" s="1">
        <f>ABS(Table1517[[#This Row],[Распределение конец]]-Table1517[[#This Row],[Накопленные частоты]])</f>
        <v>0.83412744374727588</v>
      </c>
    </row>
    <row r="250" spans="1:7" x14ac:dyDescent="0.25">
      <c r="A250" s="1">
        <v>10.681818181818182</v>
      </c>
      <c r="B250" s="1">
        <v>18.045454545454547</v>
      </c>
      <c r="C250">
        <v>9</v>
      </c>
      <c r="D250" s="1">
        <f>$E$36/(1+EXP(-(Table1517[[#This Row],[Начало интервала]]-$F$112)/$F$113))</f>
        <v>2.8341274437472759</v>
      </c>
      <c r="E250" s="1">
        <f>$E$36/(1+EXP(-(Table1517[[#This Row],[Конец интервала]]-$F$112)/$F$113))</f>
        <v>6.2031040970335543</v>
      </c>
      <c r="F250" s="1">
        <f>ABS(Table1517[[#This Row],[Распределение начало]]-Table1517[[#This Row],[Накопленные частоты]])</f>
        <v>6.1658725562527241</v>
      </c>
      <c r="G250" s="1">
        <f>ABS(Table1517[[#This Row],[Распределение конец]]-Table1517[[#This Row],[Накопленные частоты]])</f>
        <v>2.7968959029664457</v>
      </c>
    </row>
    <row r="251" spans="1:7" x14ac:dyDescent="0.25">
      <c r="A251" s="1">
        <v>18.045454545454547</v>
      </c>
      <c r="B251" s="1">
        <v>25.40909090909091</v>
      </c>
      <c r="C251">
        <v>15</v>
      </c>
      <c r="D251" s="1">
        <f>$E$36/(1+EXP(-(Table1517[[#This Row],[Начало интервала]]-$F$112)/$F$113))</f>
        <v>6.2031040970335543</v>
      </c>
      <c r="E251" s="1">
        <f>$E$36/(1+EXP(-(Table1517[[#This Row],[Конец интервала]]-$F$112)/$F$113))</f>
        <v>13.319362942676836</v>
      </c>
      <c r="F251" s="1">
        <f>ABS(Table1517[[#This Row],[Распределение начало]]-Table1517[[#This Row],[Накопленные частоты]])</f>
        <v>8.7968959029664457</v>
      </c>
      <c r="G251" s="1">
        <f>ABS(Table1517[[#This Row],[Распределение конец]]-Table1517[[#This Row],[Накопленные частоты]])</f>
        <v>1.6806370573231639</v>
      </c>
    </row>
    <row r="252" spans="1:7" x14ac:dyDescent="0.25">
      <c r="A252" s="1">
        <v>25.40909090909091</v>
      </c>
      <c r="B252" s="1">
        <v>32.772727272727273</v>
      </c>
      <c r="C252">
        <v>28</v>
      </c>
      <c r="D252" s="1">
        <f>$E$36/(1+EXP(-(Table1517[[#This Row],[Начало интервала]]-$F$112)/$F$113))</f>
        <v>13.319362942676836</v>
      </c>
      <c r="E252" s="1">
        <f>$E$36/(1+EXP(-(Table1517[[#This Row],[Конец интервала]]-$F$112)/$F$113))</f>
        <v>27.497929015752728</v>
      </c>
      <c r="F252" s="1">
        <f>ABS(Table1517[[#This Row],[Распределение начало]]-Table1517[[#This Row],[Накопленные частоты]])</f>
        <v>14.680637057323164</v>
      </c>
      <c r="G252" s="1">
        <f>ABS(Table1517[[#This Row],[Распределение конец]]-Table1517[[#This Row],[Накопленные частоты]])</f>
        <v>0.50207098424727192</v>
      </c>
    </row>
    <row r="253" spans="1:7" x14ac:dyDescent="0.25">
      <c r="A253" s="1">
        <v>32.772727272727273</v>
      </c>
      <c r="B253" s="1">
        <v>40.13636363636364</v>
      </c>
      <c r="C253">
        <v>56</v>
      </c>
      <c r="D253" s="1">
        <f>$E$36/(1+EXP(-(Table1517[[#This Row],[Начало интервала]]-$F$112)/$F$113))</f>
        <v>27.497929015752728</v>
      </c>
      <c r="E253" s="1">
        <f>$E$36/(1+EXP(-(Table1517[[#This Row],[Конец интервала]]-$F$112)/$F$113))</f>
        <v>52.723694121516878</v>
      </c>
      <c r="F253" s="1">
        <f>ABS(Table1517[[#This Row],[Распределение начало]]-Table1517[[#This Row],[Накопленные частоты]])</f>
        <v>28.502070984247272</v>
      </c>
      <c r="G253" s="1">
        <f>ABS(Table1517[[#This Row],[Распределение конец]]-Table1517[[#This Row],[Накопленные частоты]])</f>
        <v>3.2763058784831216</v>
      </c>
    </row>
    <row r="254" spans="1:7" x14ac:dyDescent="0.25">
      <c r="A254" s="1">
        <v>40.13636363636364</v>
      </c>
      <c r="B254" s="1">
        <v>47.5</v>
      </c>
      <c r="C254">
        <v>92</v>
      </c>
      <c r="D254" s="1">
        <f>$E$36/(1+EXP(-(Table1517[[#This Row],[Начало интервала]]-$F$112)/$F$113))</f>
        <v>52.723694121516878</v>
      </c>
      <c r="E254" s="1">
        <f>$E$36/(1+EXP(-(Table1517[[#This Row],[Конец интервала]]-$F$112)/$F$113))</f>
        <v>89.714915455789736</v>
      </c>
      <c r="F254" s="1">
        <f>ABS(Table1517[[#This Row],[Распределение начало]]-Table1517[[#This Row],[Накопленные частоты]])</f>
        <v>39.276305878483122</v>
      </c>
      <c r="G254" s="1">
        <f>ABS(Table1517[[#This Row],[Распределение конец]]-Table1517[[#This Row],[Накопленные частоты]])</f>
        <v>2.2850845442102639</v>
      </c>
    </row>
    <row r="255" spans="1:7" x14ac:dyDescent="0.25">
      <c r="A255" s="1">
        <v>47.5</v>
      </c>
      <c r="B255" s="1">
        <v>54.86363636363636</v>
      </c>
      <c r="C255">
        <v>129</v>
      </c>
      <c r="D255" s="1">
        <f>$E$36/(1+EXP(-(Table1517[[#This Row],[Начало интервала]]-$F$112)/$F$113))</f>
        <v>89.714915455789736</v>
      </c>
      <c r="E255" s="1">
        <f>$E$36/(1+EXP(-(Table1517[[#This Row],[Конец интервала]]-$F$112)/$F$113))</f>
        <v>131.0361962038555</v>
      </c>
      <c r="F255" s="1">
        <f>ABS(Table1517[[#This Row],[Распределение начало]]-Table1517[[#This Row],[Накопленные частоты]])</f>
        <v>39.285084544210264</v>
      </c>
      <c r="G255" s="1">
        <f>ABS(Table1517[[#This Row],[Распределение конец]]-Table1517[[#This Row],[Накопленные частоты]])</f>
        <v>2.0361962038554964</v>
      </c>
    </row>
    <row r="256" spans="1:7" x14ac:dyDescent="0.25">
      <c r="A256" s="1">
        <v>54.86363636363636</v>
      </c>
      <c r="B256" s="1">
        <v>62.22727272727272</v>
      </c>
      <c r="C256">
        <v>159</v>
      </c>
      <c r="D256" s="1">
        <f>$E$36/(1+EXP(-(Table1517[[#This Row],[Начало интервала]]-$F$112)/$F$113))</f>
        <v>131.0361962038555</v>
      </c>
      <c r="E256" s="1">
        <f>$E$36/(1+EXP(-(Table1517[[#This Row],[Конец интервала]]-$F$112)/$F$113))</f>
        <v>165.24392907237581</v>
      </c>
      <c r="F256" s="1">
        <f>ABS(Table1517[[#This Row],[Распределение начало]]-Table1517[[#This Row],[Накопленные частоты]])</f>
        <v>27.963803796144504</v>
      </c>
      <c r="G256" s="1">
        <f>ABS(Table1517[[#This Row],[Распределение конец]]-Table1517[[#This Row],[Накопленные частоты]])</f>
        <v>6.2439290723758063</v>
      </c>
    </row>
    <row r="257" spans="1:7" x14ac:dyDescent="0.25">
      <c r="A257" s="1">
        <v>62.22727272727272</v>
      </c>
      <c r="B257" s="1">
        <v>69.590909090909079</v>
      </c>
      <c r="C257">
        <v>181</v>
      </c>
      <c r="D257" s="1">
        <f>$E$36/(1+EXP(-(Table1517[[#This Row],[Начало интервала]]-$F$112)/$F$113))</f>
        <v>165.24392907237581</v>
      </c>
      <c r="E257" s="1">
        <f>$E$36/(1+EXP(-(Table1517[[#This Row],[Конец интервала]]-$F$112)/$F$113))</f>
        <v>187.20996181675289</v>
      </c>
      <c r="F257" s="1">
        <f>ABS(Table1517[[#This Row],[Распределение начало]]-Table1517[[#This Row],[Накопленные частоты]])</f>
        <v>15.756070927624194</v>
      </c>
      <c r="G257" s="1">
        <f>ABS(Table1517[[#This Row],[Распределение конец]]-Table1517[[#This Row],[Накопленные частоты]])</f>
        <v>6.2099618167528945</v>
      </c>
    </row>
    <row r="258" spans="1:7" x14ac:dyDescent="0.25">
      <c r="A258" s="1">
        <v>69.590909090909079</v>
      </c>
      <c r="B258" s="1">
        <v>76.954545454545439</v>
      </c>
      <c r="C258">
        <v>200</v>
      </c>
      <c r="D258" s="1">
        <f>$E$36/(1+EXP(-(Table1517[[#This Row],[Начало интервала]]-$F$112)/$F$113))</f>
        <v>187.20996181675289</v>
      </c>
      <c r="E258" s="1">
        <f>$E$36/(1+EXP(-(Table1517[[#This Row],[Конец интервала]]-$F$112)/$F$113))</f>
        <v>199.10593501841146</v>
      </c>
      <c r="F258" s="1">
        <f>ABS(Table1517[[#This Row],[Распределение начало]]-Table1517[[#This Row],[Накопленные частоты]])</f>
        <v>12.790038183247106</v>
      </c>
      <c r="G258" s="1">
        <f>ABS(Table1517[[#This Row],[Распределение конец]]-Table1517[[#This Row],[Накопленные частоты]])</f>
        <v>0.8940649815885422</v>
      </c>
    </row>
    <row r="259" spans="1:7" x14ac:dyDescent="0.25">
      <c r="A259" s="1">
        <v>76.954545454545439</v>
      </c>
      <c r="B259" s="1">
        <v>84.318181818181799</v>
      </c>
      <c r="C259">
        <v>207</v>
      </c>
      <c r="D259" s="1">
        <f>$E$36/(1+EXP(-(Table1517[[#This Row],[Начало интервала]]-$F$112)/$F$113))</f>
        <v>199.10593501841146</v>
      </c>
      <c r="E259" s="1">
        <f>$E$36/(1+EXP(-(Table1517[[#This Row],[Конец интервала]]-$F$112)/$F$113))</f>
        <v>204.95961500784597</v>
      </c>
      <c r="F259" s="1">
        <f>ABS(Table1517[[#This Row],[Распределение начало]]-Table1517[[#This Row],[Накопленные частоты]])</f>
        <v>7.8940649815885422</v>
      </c>
      <c r="G259" s="1">
        <f>ABS(Table1517[[#This Row],[Распределение конец]]-Table1517[[#This Row],[Накопленные частоты]])</f>
        <v>2.0403849921540314</v>
      </c>
    </row>
    <row r="260" spans="1:7" x14ac:dyDescent="0.25">
      <c r="A260" s="1">
        <v>84.318181818181799</v>
      </c>
      <c r="B260" s="1">
        <v>91.681818181818159</v>
      </c>
      <c r="C260">
        <v>210</v>
      </c>
      <c r="D260" s="1">
        <f>$E$36/(1+EXP(-(Table1517[[#This Row],[Начало интервала]]-$F$112)/$F$113))</f>
        <v>204.95961500784597</v>
      </c>
      <c r="E260" s="1">
        <f>$E$36/(1+EXP(-(Table1517[[#This Row],[Конец интервала]]-$F$112)/$F$113))</f>
        <v>207.70421935770082</v>
      </c>
      <c r="F260" s="1">
        <f>ABS(Table1517[[#This Row],[Распределение начало]]-Table1517[[#This Row],[Накопленные частоты]])</f>
        <v>5.0403849921540314</v>
      </c>
      <c r="G260" s="1">
        <f>ABS(Table1517[[#This Row],[Распределение конец]]-Table1517[[#This Row],[Накопленные частоты]])</f>
        <v>2.295780642299178</v>
      </c>
    </row>
    <row r="261" spans="1:7" x14ac:dyDescent="0.25">
      <c r="A261" s="1"/>
      <c r="B261" s="1"/>
      <c r="D261" s="1"/>
      <c r="E261" s="1"/>
      <c r="F261" s="1"/>
      <c r="G261" s="1">
        <f>MAX(Table1517[[Разность начало]:[Разность конец]])/SQRT($E$36)</f>
        <v>2.7109283839812131</v>
      </c>
    </row>
    <row r="262" spans="1:7" x14ac:dyDescent="0.25">
      <c r="A262" t="s">
        <v>140</v>
      </c>
      <c r="F262" t="s">
        <v>142</v>
      </c>
      <c r="G262">
        <v>1.3580000000000001</v>
      </c>
    </row>
    <row r="263" spans="1:7" x14ac:dyDescent="0.25">
      <c r="A263" t="s">
        <v>141</v>
      </c>
    </row>
    <row r="265" spans="1:7" x14ac:dyDescent="0.25">
      <c r="A265" t="s">
        <v>104</v>
      </c>
    </row>
    <row r="266" spans="1:7" x14ac:dyDescent="0.25">
      <c r="A266" t="s">
        <v>96</v>
      </c>
      <c r="B266">
        <f>0.05</f>
        <v>0.05</v>
      </c>
    </row>
    <row r="268" spans="1:7" x14ac:dyDescent="0.25">
      <c r="A268" s="15" t="s">
        <v>107</v>
      </c>
    </row>
    <row r="269" spans="1:7" x14ac:dyDescent="0.25">
      <c r="A269" t="s">
        <v>106</v>
      </c>
      <c r="B269" s="1">
        <f>SQRT($B$74/$E$36)</f>
        <v>0.48018079207064612</v>
      </c>
    </row>
    <row r="270" spans="1:7" x14ac:dyDescent="0.25">
      <c r="A270" t="s">
        <v>105</v>
      </c>
      <c r="B270" s="1">
        <f>INT($B$68)</f>
        <v>50</v>
      </c>
    </row>
    <row r="271" spans="1:7" x14ac:dyDescent="0.25">
      <c r="A271" t="s">
        <v>111</v>
      </c>
      <c r="B271" s="1">
        <f>(B68-B270)/B269</f>
        <v>0.41650978819364776</v>
      </c>
    </row>
    <row r="272" spans="1:7" x14ac:dyDescent="0.25">
      <c r="A272" t="s">
        <v>112</v>
      </c>
      <c r="B272">
        <f>2</f>
        <v>2</v>
      </c>
    </row>
    <row r="273" spans="1:5" x14ac:dyDescent="0.25">
      <c r="A273" t="s">
        <v>122</v>
      </c>
    </row>
    <row r="275" spans="1:5" x14ac:dyDescent="0.25">
      <c r="A275" s="15" t="s">
        <v>44</v>
      </c>
    </row>
    <row r="276" spans="1:5" x14ac:dyDescent="0.25">
      <c r="A276" t="s">
        <v>108</v>
      </c>
      <c r="B276" s="1">
        <f>INT(E72)</f>
        <v>278</v>
      </c>
    </row>
    <row r="277" spans="1:5" x14ac:dyDescent="0.25">
      <c r="A277" t="s">
        <v>109</v>
      </c>
      <c r="B277" s="1">
        <f>(E36-1)*E72/B276</f>
        <v>209.69971409885002</v>
      </c>
      <c r="C277" s="1"/>
    </row>
    <row r="278" spans="1:5" x14ac:dyDescent="0.25">
      <c r="A278" t="s">
        <v>110</v>
      </c>
      <c r="B278" s="1">
        <f>_xlfn.CHISQ.INV.RT(1-B266/2, E36-1)</f>
        <v>170.85501870267484</v>
      </c>
      <c r="C278" s="1">
        <f>_xlfn.CHISQ.INV.RT(B266/2,  E36-1)</f>
        <v>250.93097743006234</v>
      </c>
    </row>
    <row r="279" spans="1:5" x14ac:dyDescent="0.25">
      <c r="A279" t="s">
        <v>113</v>
      </c>
    </row>
    <row r="281" spans="1:5" x14ac:dyDescent="0.25">
      <c r="A281" t="s">
        <v>116</v>
      </c>
    </row>
    <row r="282" spans="1:5" x14ac:dyDescent="0.25">
      <c r="A282" t="s">
        <v>117</v>
      </c>
      <c r="B282" t="s">
        <v>114</v>
      </c>
      <c r="C282" t="s">
        <v>115</v>
      </c>
    </row>
    <row r="283" spans="1:5" x14ac:dyDescent="0.25">
      <c r="A283" t="s">
        <v>107</v>
      </c>
      <c r="B283" s="1">
        <f>SUM(dataB1)/COUNT(dataB1)</f>
        <v>51.057142857142857</v>
      </c>
      <c r="C283" s="1">
        <f>SUM(dataB2)/COUNT(dataB2)</f>
        <v>48.74285714285714</v>
      </c>
      <c r="E283" t="s">
        <v>136</v>
      </c>
    </row>
    <row r="284" spans="1:5" x14ac:dyDescent="0.25">
      <c r="A284" t="s">
        <v>93</v>
      </c>
      <c r="B284" s="1">
        <f>_xlfn.VAR.S(dataB1)</f>
        <v>237.36208791208796</v>
      </c>
      <c r="C284" s="1">
        <f>_xlfn.VAR.S(dataB2)</f>
        <v>312.98131868131867</v>
      </c>
      <c r="D284" s="1">
        <f>Table1820[[#This Row],[Вторая часть]]/Table1820[[#This Row],[Первая часть]]</f>
        <v>1.3185817559762867</v>
      </c>
      <c r="E284" s="1">
        <f>_xlfn.F.INV.RT(B266/2,C285-1,B285-1)</f>
        <v>1.4718138708346939</v>
      </c>
    </row>
    <row r="285" spans="1:5" x14ac:dyDescent="0.25">
      <c r="A285" t="s">
        <v>74</v>
      </c>
      <c r="B285" s="1">
        <f>COUNT(dataB1)</f>
        <v>105</v>
      </c>
      <c r="C285" s="1">
        <f>COUNT(dataB2)</f>
        <v>105</v>
      </c>
      <c r="E285" t="s">
        <v>138</v>
      </c>
    </row>
    <row r="286" spans="1:5" x14ac:dyDescent="0.25">
      <c r="A286" t="s">
        <v>119</v>
      </c>
      <c r="B286" s="1">
        <f>((B285-1)*B284+(C285-1)*C284)/(B285+C285-2)</f>
        <v>275.1717032967033</v>
      </c>
    </row>
    <row r="287" spans="1:5" x14ac:dyDescent="0.25">
      <c r="A287" t="s">
        <v>118</v>
      </c>
      <c r="B287" s="1">
        <f>(C283-B283)/(B286*SQRT(1/B285+1/C285))</f>
        <v>-6.09386535429427E-2</v>
      </c>
    </row>
    <row r="288" spans="1:5" x14ac:dyDescent="0.25">
      <c r="A288" t="s">
        <v>112</v>
      </c>
      <c r="B288">
        <v>2</v>
      </c>
    </row>
    <row r="289" spans="1:1" x14ac:dyDescent="0.25">
      <c r="A289" t="s">
        <v>135</v>
      </c>
    </row>
  </sheetData>
  <phoneticPr fontId="3" type="noConversion"/>
  <pageMargins left="0.7" right="0.7" top="0.75" bottom="0.75" header="0.3" footer="0.3"/>
  <ignoredErrors>
    <ignoredError sqref="B24:B27 B29 B28 B30:B35" calculatedColumn="1"/>
  </ignoredErrors>
  <drawing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D4D893-1ED2-4A1C-B14A-B5DE021E53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Выборка А</vt:lpstr>
      <vt:lpstr>Выборка B</vt:lpstr>
      <vt:lpstr>data</vt:lpstr>
      <vt:lpstr>data1</vt:lpstr>
      <vt:lpstr>data2</vt:lpstr>
      <vt:lpstr>dataB</vt:lpstr>
      <vt:lpstr>dataB1</vt:lpstr>
      <vt:lpstr>dataB2</vt:lpstr>
      <vt:lpstr>xmax</vt:lpstr>
      <vt:lpstr>xmin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Movchan</dc:creator>
  <cp:lastModifiedBy>Ventus</cp:lastModifiedBy>
  <dcterms:created xsi:type="dcterms:W3CDTF">2024-09-26T15:23:09Z</dcterms:created>
  <dcterms:modified xsi:type="dcterms:W3CDTF">2024-11-04T15:01:39Z</dcterms:modified>
</cp:coreProperties>
</file>